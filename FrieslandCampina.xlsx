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2.xml" ContentType="application/vnd.openxmlformats-officedocument.drawing+xml"/>
  <Override PartName="/xl/tables/table7.xml" ContentType="application/vnd.openxmlformats-officedocument.spreadsheetml.table+xml"/>
  <Override PartName="/xl/charts/chartEx1.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hidePivotFieldList="1" defaultThemeVersion="202300"/>
  <mc:AlternateContent xmlns:mc="http://schemas.openxmlformats.org/markup-compatibility/2006">
    <mc:Choice Requires="x15">
      <x15ac:absPath xmlns:x15ac="http://schemas.microsoft.com/office/spreadsheetml/2010/11/ac" url="/Users/lekhanhlinh/Desktop/Modeling 101/"/>
    </mc:Choice>
  </mc:AlternateContent>
  <xr:revisionPtr revIDLastSave="0" documentId="13_ncr:1_{E5FF7477-4CE4-BD48-8C4F-8960DDBD516D}" xr6:coauthVersionLast="47" xr6:coauthVersionMax="47" xr10:uidLastSave="{00000000-0000-0000-0000-000000000000}"/>
  <bookViews>
    <workbookView xWindow="0" yWindow="500" windowWidth="28800" windowHeight="16080" xr2:uid="{7F7B1154-32B3-B540-B8E7-F7CAAB7DBAE1}"/>
  </bookViews>
  <sheets>
    <sheet name="Cover" sheetId="10" r:id="rId1"/>
    <sheet name="Executive Summary" sheetId="11" r:id="rId2"/>
    <sheet name="Revenue Analysis" sheetId="12" r:id="rId3"/>
    <sheet name="Costs Analysis" sheetId="3" r:id="rId4"/>
    <sheet name="Profitability bridge" sheetId="13" r:id="rId5"/>
    <sheet name="2026 Scenario Analysis" sheetId="17" r:id="rId6"/>
    <sheet name="Management Insights" sheetId="15" r:id="rId7"/>
    <sheet name="Sources &amp; Methodology" sheetId="14" r:id="rId8"/>
    <sheet name="Historical P&amp;L" sheetId="1" state="hidden" r:id="rId9"/>
  </sheets>
  <definedNames>
    <definedName name="_xlnm._FilterDatabase" localSheetId="8" hidden="1">'Historical P&amp;L'!$A$1:$D$4</definedName>
    <definedName name="_xlchart.v1.0" hidden="1">'Profitability bridge'!$A$6:$A$13</definedName>
    <definedName name="_xlchart.v1.1" hidden="1">'Profitability bridge'!$B$6:$B$13</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74" i="17" l="1"/>
  <c r="D59" i="17"/>
  <c r="D60" i="17"/>
  <c r="D62" i="17"/>
  <c r="D63" i="17"/>
  <c r="D64" i="17"/>
  <c r="D65" i="17"/>
  <c r="D66" i="17"/>
  <c r="D68" i="17"/>
  <c r="D69" i="17"/>
  <c r="D70" i="17"/>
  <c r="D71" i="17"/>
  <c r="D73" i="17"/>
  <c r="D75" i="17"/>
  <c r="D58" i="17"/>
  <c r="C8" i="17" s="1"/>
  <c r="D12" i="17"/>
  <c r="E12" i="17"/>
  <c r="C38" i="17"/>
  <c r="C44" i="17" s="1"/>
  <c r="C49" i="17" s="1"/>
  <c r="C52" i="17" s="1"/>
  <c r="B38" i="17"/>
  <c r="B44" i="17" s="1"/>
  <c r="B49" i="17" s="1"/>
  <c r="B52" i="17" s="1"/>
  <c r="C35" i="17"/>
  <c r="D35" i="17" s="1"/>
  <c r="C57" i="17"/>
  <c r="D57" i="17" s="1"/>
  <c r="C60" i="17"/>
  <c r="C66" i="17" s="1"/>
  <c r="C71" i="17" s="1"/>
  <c r="C74" i="17" s="1"/>
  <c r="B60" i="17"/>
  <c r="B66" i="17" s="1"/>
  <c r="B71" i="17" s="1"/>
  <c r="B74" i="17" s="1"/>
  <c r="B13" i="13"/>
  <c r="D32" i="3"/>
  <c r="E32" i="3" s="1"/>
  <c r="D31" i="3"/>
  <c r="E31" i="3" s="1"/>
  <c r="D30" i="3"/>
  <c r="E30" i="3" s="1"/>
  <c r="C15" i="12"/>
  <c r="B15" i="12"/>
  <c r="D14" i="12"/>
  <c r="D13" i="12"/>
  <c r="D12" i="12"/>
  <c r="E12" i="12" s="1"/>
  <c r="D11" i="12"/>
  <c r="E11" i="12" s="1"/>
  <c r="D10" i="12"/>
  <c r="D9" i="12"/>
  <c r="D8" i="12"/>
  <c r="D7" i="12"/>
  <c r="D6" i="12"/>
  <c r="C15" i="11"/>
  <c r="B15" i="11"/>
  <c r="C14" i="11"/>
  <c r="B14" i="11"/>
  <c r="D14" i="11" s="1"/>
  <c r="C13" i="11"/>
  <c r="B13" i="11"/>
  <c r="D9" i="11"/>
  <c r="E9" i="11" s="1"/>
  <c r="D8" i="11"/>
  <c r="E8" i="11" s="1"/>
  <c r="D7" i="11"/>
  <c r="E7" i="11" s="1"/>
  <c r="D6" i="11"/>
  <c r="E6" i="11" s="1"/>
  <c r="D5" i="11"/>
  <c r="E5" i="11" s="1"/>
  <c r="F3" i="1"/>
  <c r="F4" i="1"/>
  <c r="F6" i="1"/>
  <c r="F7" i="1"/>
  <c r="F8" i="1"/>
  <c r="F9" i="1"/>
  <c r="F10" i="1"/>
  <c r="F12" i="1"/>
  <c r="F13" i="1"/>
  <c r="F14" i="1"/>
  <c r="F15" i="1"/>
  <c r="F17" i="1"/>
  <c r="F18" i="1"/>
  <c r="F2" i="1"/>
  <c r="E3" i="1"/>
  <c r="E6" i="1"/>
  <c r="E7" i="1"/>
  <c r="E8" i="1"/>
  <c r="E9" i="1"/>
  <c r="E12" i="1"/>
  <c r="E13" i="1"/>
  <c r="E14" i="1"/>
  <c r="E17" i="1"/>
  <c r="E2" i="1"/>
  <c r="D6" i="3"/>
  <c r="E6" i="3" s="1"/>
  <c r="D7" i="3"/>
  <c r="E7" i="3" s="1"/>
  <c r="D8" i="3"/>
  <c r="E8" i="3" s="1"/>
  <c r="D9" i="3"/>
  <c r="E9" i="3" s="1"/>
  <c r="D10" i="3"/>
  <c r="E10" i="3" s="1"/>
  <c r="D11" i="3"/>
  <c r="E11" i="3" s="1"/>
  <c r="D12" i="3"/>
  <c r="E12" i="3" s="1"/>
  <c r="D13" i="3"/>
  <c r="E13" i="3" s="1"/>
  <c r="D14" i="3"/>
  <c r="E14" i="3" s="1"/>
  <c r="D15" i="3"/>
  <c r="E15" i="3"/>
  <c r="B16" i="3"/>
  <c r="C16" i="3"/>
  <c r="D21" i="3"/>
  <c r="E21" i="3" s="1"/>
  <c r="D22" i="3"/>
  <c r="E22" i="3" s="1"/>
  <c r="D23" i="3"/>
  <c r="E23" i="3" s="1"/>
  <c r="D24" i="3"/>
  <c r="E24" i="3" s="1"/>
  <c r="C25" i="3"/>
  <c r="B25" i="3"/>
  <c r="D15" i="1"/>
  <c r="D18" i="1" s="1"/>
  <c r="C15" i="1"/>
  <c r="D10" i="1"/>
  <c r="C4" i="1"/>
  <c r="E4" i="1" s="1"/>
  <c r="C10" i="1"/>
  <c r="E10" i="1" s="1"/>
  <c r="D4" i="1"/>
  <c r="D8" i="17" l="1"/>
  <c r="E8" i="17"/>
  <c r="C9" i="17"/>
  <c r="C53" i="17"/>
  <c r="B53" i="17"/>
  <c r="C75" i="17"/>
  <c r="B75" i="17"/>
  <c r="E70" i="17"/>
  <c r="F70" i="17" s="1"/>
  <c r="D16" i="17" s="1"/>
  <c r="E58" i="17"/>
  <c r="F58" i="17" s="1"/>
  <c r="D7" i="17" s="1"/>
  <c r="E75" i="17"/>
  <c r="F75" i="17" s="1"/>
  <c r="E71" i="17"/>
  <c r="F71" i="17" s="1"/>
  <c r="E69" i="17"/>
  <c r="F69" i="17" s="1"/>
  <c r="D15" i="17" s="1"/>
  <c r="E68" i="17"/>
  <c r="F68" i="17" s="1"/>
  <c r="E66" i="17"/>
  <c r="F66" i="17" s="1"/>
  <c r="E65" i="17"/>
  <c r="F65" i="17" s="1"/>
  <c r="D13" i="17" s="1"/>
  <c r="E64" i="17"/>
  <c r="F64" i="17" s="1"/>
  <c r="E63" i="17"/>
  <c r="F63" i="17" s="1"/>
  <c r="D11" i="17" s="1"/>
  <c r="E62" i="17"/>
  <c r="F62" i="17" s="1"/>
  <c r="D10" i="17" s="1"/>
  <c r="E60" i="17"/>
  <c r="F60" i="17" s="1"/>
  <c r="D15" i="11"/>
  <c r="D13" i="11"/>
  <c r="D15" i="12"/>
  <c r="D16" i="3"/>
  <c r="E16" i="3" s="1"/>
  <c r="D25" i="3"/>
  <c r="E25" i="3" s="1"/>
  <c r="E14" i="12"/>
  <c r="E13" i="12"/>
  <c r="E10" i="12"/>
  <c r="E9" i="12"/>
  <c r="E8" i="12"/>
  <c r="E7" i="12"/>
  <c r="E6" i="12"/>
  <c r="F12" i="12"/>
  <c r="F11" i="12"/>
  <c r="E15" i="1"/>
  <c r="C18" i="1"/>
  <c r="E18" i="1" s="1"/>
  <c r="E59" i="17" l="1"/>
  <c r="F59" i="17" s="1"/>
  <c r="C16" i="17"/>
  <c r="E16" i="17"/>
  <c r="B30" i="17" s="1"/>
  <c r="D48" i="17" s="1"/>
  <c r="C7" i="17"/>
  <c r="E7" i="17"/>
  <c r="B22" i="17" s="1"/>
  <c r="D36" i="17" s="1"/>
  <c r="C15" i="17"/>
  <c r="E15" i="17"/>
  <c r="B28" i="17"/>
  <c r="D46" i="17" s="1"/>
  <c r="C13" i="17"/>
  <c r="E13" i="17"/>
  <c r="B26" i="17"/>
  <c r="D42" i="17" s="1"/>
  <c r="C11" i="17"/>
  <c r="E11" i="17"/>
  <c r="B25" i="17" s="1"/>
  <c r="D41" i="17" s="1"/>
  <c r="C10" i="17"/>
  <c r="E10" i="17"/>
  <c r="B24" i="17" s="1"/>
  <c r="D40" i="17" s="1"/>
  <c r="E73" i="17"/>
  <c r="F73" i="17" s="1"/>
  <c r="F7" i="12"/>
  <c r="F6" i="12"/>
  <c r="F13" i="12"/>
  <c r="F10" i="12"/>
  <c r="F9" i="12"/>
  <c r="F8" i="12"/>
  <c r="F14" i="12"/>
  <c r="B27" i="17" l="1"/>
  <c r="D43" i="17" s="1"/>
  <c r="B29" i="17"/>
  <c r="D47" i="17" s="1"/>
  <c r="E9" i="17"/>
  <c r="B23" i="17" s="1"/>
  <c r="D37" i="17" s="1"/>
  <c r="D38" i="17" s="1"/>
  <c r="D9" i="17"/>
  <c r="E74" i="17"/>
  <c r="C17" i="17"/>
  <c r="D44" i="17" l="1"/>
  <c r="D49" i="17" s="1"/>
  <c r="E17" i="17"/>
  <c r="D17" i="17"/>
  <c r="B31" i="17"/>
  <c r="D52" i="17" s="1"/>
  <c r="D51" i="17" l="1"/>
  <c r="D53" i="17" s="1"/>
</calcChain>
</file>

<file path=xl/sharedStrings.xml><?xml version="1.0" encoding="utf-8"?>
<sst xmlns="http://schemas.openxmlformats.org/spreadsheetml/2006/main" count="292" uniqueCount="196">
  <si>
    <t>Revenue</t>
  </si>
  <si>
    <t>Cost of goods sold</t>
  </si>
  <si>
    <t>Note</t>
  </si>
  <si>
    <t>measure business growth</t>
  </si>
  <si>
    <t>Gross profit</t>
  </si>
  <si>
    <t>Advertising and promotion costs</t>
  </si>
  <si>
    <t>Other operating costs</t>
  </si>
  <si>
    <t>Other operating income</t>
  </si>
  <si>
    <t>Operating profit</t>
  </si>
  <si>
    <t>Core Finance KPI</t>
  </si>
  <si>
    <t>Finance income</t>
  </si>
  <si>
    <t>Finance costs</t>
  </si>
  <si>
    <t>Share of profit joint ventures and associates, net of tax</t>
  </si>
  <si>
    <t>Result before tax</t>
  </si>
  <si>
    <t>Income tax</t>
  </si>
  <si>
    <t>Result for the year</t>
  </si>
  <si>
    <t>Metric (in millions of euros)</t>
  </si>
  <si>
    <t>Net income -&gt; overall profitability</t>
  </si>
  <si>
    <t>Financial KPI</t>
  </si>
  <si>
    <t>Change</t>
  </si>
  <si>
    <t>% Change</t>
  </si>
  <si>
    <t>Revenue (€m)</t>
  </si>
  <si>
    <t>Gross profit (€m)</t>
  </si>
  <si>
    <t>Operating profit (€m)</t>
  </si>
  <si>
    <t>Result before tax (€m)</t>
  </si>
  <si>
    <t>Net result (€m)</t>
  </si>
  <si>
    <t>Cost (in million euro)</t>
  </si>
  <si>
    <t>Milk from member dairy farmers</t>
  </si>
  <si>
    <t>Cost of raw materials, consumables and commodities</t>
  </si>
  <si>
    <t>Employee benefit expenses</t>
  </si>
  <si>
    <t>Depreciation of property, plant and equipment, and amortisation of intagiable assets</t>
  </si>
  <si>
    <t>Impairments of property, plant and equipment, intangible assets and assets held for sale</t>
  </si>
  <si>
    <t>Transportation costs</t>
  </si>
  <si>
    <t>Service costs from third parties and agency staff costs</t>
  </si>
  <si>
    <t>Energy costs</t>
  </si>
  <si>
    <t>Other</t>
  </si>
  <si>
    <t>Total of the COGS, advertising and promotion costs and selling, general and administrative costs</t>
  </si>
  <si>
    <t>Restructuring costs and release of restucting provisins</t>
  </si>
  <si>
    <t>Impairments of non-current asssets due to restructing</t>
  </si>
  <si>
    <t>Implementation costs for upgrade ERP system</t>
  </si>
  <si>
    <t>Total other operating costs</t>
  </si>
  <si>
    <t xml:space="preserve">Business group </t>
  </si>
  <si>
    <t>Europe</t>
  </si>
  <si>
    <t>Retail &amp; Americas</t>
  </si>
  <si>
    <t>Asia</t>
  </si>
  <si>
    <t>Inredients</t>
  </si>
  <si>
    <t>Specialised Nutrition</t>
  </si>
  <si>
    <t>Professional</t>
  </si>
  <si>
    <t>COGS</t>
  </si>
  <si>
    <t>Global Supply Chain</t>
  </si>
  <si>
    <t>Selling and general administrative costs</t>
  </si>
  <si>
    <t>Essentially unchanged</t>
  </si>
  <si>
    <t>Contributions to the total growth</t>
  </si>
  <si>
    <t>Executive Summary</t>
  </si>
  <si>
    <t>KPI</t>
  </si>
  <si>
    <t>KPIs</t>
  </si>
  <si>
    <t>Margins</t>
  </si>
  <si>
    <t>Gross margin</t>
  </si>
  <si>
    <t>Operating margin</t>
  </si>
  <si>
    <t>Net margin</t>
  </si>
  <si>
    <t>Key insights</t>
  </si>
  <si>
    <t>Revenue growth</t>
  </si>
  <si>
    <t>Margin pressure</t>
  </si>
  <si>
    <t>Net income</t>
  </si>
  <si>
    <t>Growth concentration</t>
  </si>
  <si>
    <t>Revenue Analysis</t>
  </si>
  <si>
    <t>Revenue by business group</t>
  </si>
  <si>
    <t>Total</t>
  </si>
  <si>
    <t>Key findings</t>
  </si>
  <si>
    <t>Growth %</t>
  </si>
  <si>
    <t>Cost item</t>
  </si>
  <si>
    <t>Milk cost deep dive</t>
  </si>
  <si>
    <t>Profitability Bridge</t>
  </si>
  <si>
    <t>Operating-profit bridge</t>
  </si>
  <si>
    <t>Bridge item</t>
  </si>
  <si>
    <t>Comment</t>
  </si>
  <si>
    <t>Revenue grew by 3.64% despite challenging market conditions</t>
  </si>
  <si>
    <t>Professional, Retail &amp; Americas and Specialised Nutrition were major contributors to the revenue increase</t>
  </si>
  <si>
    <t>2025</t>
  </si>
  <si>
    <t>2024</t>
  </si>
  <si>
    <t>Professional was the largest positive contributor to reported revenue growth (+185m)</t>
  </si>
  <si>
    <t>Retail &amp; Americas (+166) and Specialised Nutrition (+131) were the second-largest and the third-largest contributor respectively</t>
  </si>
  <si>
    <t xml:space="preserve">Top 3 positive contributors generated &gt;100% of net growth </t>
  </si>
  <si>
    <t>The available disclosure does not provide a complete price-volume decomposition by business group; therefore no unsupported price/ volume allocation is made here</t>
  </si>
  <si>
    <t>Item</t>
  </si>
  <si>
    <t>Average milk price (/100kg)</t>
  </si>
  <si>
    <t>Milk  cost contributed the most to COGS</t>
  </si>
  <si>
    <t>We can see that even though milk cost an new ERP implementation cost both contribute to the increase in cost but they are different. The new ERP implementation is the temporary cost, a transformation cost but its not a recurring cost. When analyse need to distinguish bc after the implementation, the operating costs can decrease gradually -&gt; higher operating profit in the long run</t>
  </si>
  <si>
    <t>2024 Operating profit</t>
  </si>
  <si>
    <t>Adveritising &amp; promotion</t>
  </si>
  <si>
    <t>2025 Operating profit</t>
  </si>
  <si>
    <t>Impact (€m)</t>
  </si>
  <si>
    <t>Interpretation</t>
  </si>
  <si>
    <t>Revenue growth added 470m, but COGS increased by 507m, reducing gross profit by 37m</t>
  </si>
  <si>
    <t>Other operating costs reduced operating profit by 39m, with ERP implementation costs a major component</t>
  </si>
  <si>
    <t>Net effect: operating profit declined 20m, from 527m to 507m</t>
  </si>
  <si>
    <t>Starting point</t>
  </si>
  <si>
    <t>Top-line increase</t>
  </si>
  <si>
    <t>Increased faster than revenue -&gt; Offset the growth</t>
  </si>
  <si>
    <t>Small positive offset</t>
  </si>
  <si>
    <t>Major cost saving</t>
  </si>
  <si>
    <t>Negative impact, high ERP costs</t>
  </si>
  <si>
    <t>Ending point</t>
  </si>
  <si>
    <t>Middle East, Pakistan &amp; Africa</t>
  </si>
  <si>
    <t>Sources &amp; Methodology</t>
  </si>
  <si>
    <t>Primary sources</t>
  </si>
  <si>
    <t>Source</t>
  </si>
  <si>
    <t>URL</t>
  </si>
  <si>
    <t>Methodology</t>
  </si>
  <si>
    <t>2025 vs 2024 financial performance analysis</t>
  </si>
  <si>
    <t>Purpose</t>
  </si>
  <si>
    <t>Key questions</t>
  </si>
  <si>
    <t>01 What drove revenue growth across business groups?</t>
  </si>
  <si>
    <t>02 Which cost drivers had the largest impact?</t>
  </si>
  <si>
    <t>03 Why did operating profit decrease despite revenue growth?</t>
  </si>
  <si>
    <t>Scope &amp; Methodology</t>
  </si>
  <si>
    <t>FY2024 - FY2025 Actual</t>
  </si>
  <si>
    <t>Prepared by</t>
  </si>
  <si>
    <t>Linh Le</t>
  </si>
  <si>
    <t>FP&amp;A/ Financial Analysis Portfolio Project</t>
  </si>
  <si>
    <t>Microsoft Excel</t>
  </si>
  <si>
    <t>Data Source</t>
  </si>
  <si>
    <t>Costs Analysis</t>
  </si>
  <si>
    <t>FrieslandCampina 2025 Annual Report</t>
  </si>
  <si>
    <t>Change = 2025 value minus 2024 value</t>
  </si>
  <si>
    <t>% change = change divided by 2024 value</t>
  </si>
  <si>
    <t>Margin = relevent profit measure divided by revenue</t>
  </si>
  <si>
    <t>Revenue contribution = business-group revenue change divided by total reported revenue change</t>
  </si>
  <si>
    <t>This is a personal portfolio analysis based on publicly available company disclosures; it is not company management reporting</t>
  </si>
  <si>
    <t>https://www.frieslandcampina.com/uploads/2026/09/FrieslandCampina-Annual-Report-2025.pdf</t>
  </si>
  <si>
    <t>All financial statement figures are presented in € millions unless otherwise stated</t>
  </si>
  <si>
    <t>Management Insights</t>
  </si>
  <si>
    <t>Key Findings &amp; Business Implications</t>
  </si>
  <si>
    <t>Key findings, business implications, and FP&amp;A follow-up</t>
  </si>
  <si>
    <t>Finding</t>
  </si>
  <si>
    <t>FP&amp;A Interpretation</t>
  </si>
  <si>
    <t>1. Gross-margin pressure</t>
  </si>
  <si>
    <t>COGS grew faster than revenue, decreasing gross margin despite revenue increase. Milk compensation was the largest identified cost and should be monitored through price and supply drivers</t>
  </si>
  <si>
    <t xml:space="preserve">2. Growth quality </t>
  </si>
  <si>
    <t>Revenue growth was concentrated in Professional, Retail &amp; Americans and Specialized Nutrition while Asia was an offset</t>
  </si>
  <si>
    <t>3. Cost discipline</t>
  </si>
  <si>
    <t>SG&amp;A savings of €51m partially offset gross-profit pressure</t>
  </si>
  <si>
    <t>4. Transformation costs</t>
  </si>
  <si>
    <t>ERP-related costs increased operating expenses. These should be distinguished from recurring operating costs when assessing underlying performance.</t>
  </si>
  <si>
    <t>5. Net-income development</t>
  </si>
  <si>
    <t xml:space="preserve">Net result increased despite lower pre-tax profit thanks to a lower tax-expense. </t>
  </si>
  <si>
    <t>Recommended FP&amp;A follow-up analysis</t>
  </si>
  <si>
    <t>Key tracker</t>
  </si>
  <si>
    <t>Analysis</t>
  </si>
  <si>
    <t>Price-volume-mix analysis for major business group if sufficient data is available</t>
  </si>
  <si>
    <t>Costs</t>
  </si>
  <si>
    <t>Milk price/ volume variance analysis</t>
  </si>
  <si>
    <t xml:space="preserve">Profitability </t>
  </si>
  <si>
    <t>Planning</t>
  </si>
  <si>
    <t>Actual-vs-budget variance analysis to have a full planning-and-performance-management case</t>
  </si>
  <si>
    <t>2026 forecast with base / upside / downside scenarios using revenue growth, gross margin and SG&amp;A assumptions</t>
  </si>
  <si>
    <t>Assumption</t>
  </si>
  <si>
    <t>Change vs base case</t>
  </si>
  <si>
    <t>Effective tax rate</t>
  </si>
  <si>
    <t>Metric</t>
  </si>
  <si>
    <t>% of Revenue</t>
  </si>
  <si>
    <t>LIVE CASE</t>
  </si>
  <si>
    <t>Base case - 1</t>
  </si>
  <si>
    <t>Downside - 2</t>
  </si>
  <si>
    <t>Upside - 3</t>
  </si>
  <si>
    <t>2026 Scenario Analysis</t>
  </si>
  <si>
    <t>INCOME STATEMENT LIVE CASE</t>
  </si>
  <si>
    <t>Basis</t>
  </si>
  <si>
    <t>Historical growth + Business-group performance</t>
  </si>
  <si>
    <t>Historical margin trend + input-cost sensitivity</t>
  </si>
  <si>
    <t>Historical trend</t>
  </si>
  <si>
    <t>Transformation-cost normalization</t>
  </si>
  <si>
    <t>Based on 2025 ETR</t>
  </si>
  <si>
    <t>Analyst assumption</t>
  </si>
  <si>
    <t>Value</t>
  </si>
  <si>
    <t>N/A</t>
  </si>
  <si>
    <t>FrieslandCampina | FP&amp;A Financial Analysis &amp; Forecasting Portfolio Project</t>
  </si>
  <si>
    <t>Analyze FY2025 financial performance versus FY2024: financial statement analysis, KPI and margin analysis, revenue-driver analysis, cost-driver analysis, profitability bridge, management insights, and forecasting and scenario analysis</t>
  </si>
  <si>
    <t>Gross margin decreased 0.8 percentage-point from 16.04% to 15.2% because COGS grew faster then revenue</t>
  </si>
  <si>
    <t>Net result increased by €7m despite lower pre-tax profit, as income tax expense decreased €14m</t>
  </si>
  <si>
    <t>Asia was the biggest offset (-108m) with a decline of 22.98% while Global Suppl Chain and Other also declined</t>
  </si>
  <si>
    <t>Milk compensation increased by €554m, driven by both higher member milk supply and a higher average milk price per 100kg.</t>
  </si>
  <si>
    <t>The growth in revenue was 3.64% -&gt; almost the same with the increse in cost because even the milk cost increase, the lower raw material, D&amp;A and impairments, … offset the increase in cost.</t>
  </si>
  <si>
    <t>Member milk supply (kg)</t>
  </si>
  <si>
    <t>Milk compensation to member dairy farmers (€m)</t>
  </si>
  <si>
    <t>2025 (€m)</t>
  </si>
  <si>
    <t>2024 (€m)</t>
  </si>
  <si>
    <t>Change (€m)</t>
  </si>
  <si>
    <t xml:space="preserve">% Change </t>
  </si>
  <si>
    <t>Cost drivers</t>
  </si>
  <si>
    <t>SG&amp;A</t>
  </si>
  <si>
    <t>TREND-BASED STARTING POINT (using FORECAST.LINEAR)</t>
  </si>
  <si>
    <t>SG&amp;A savings of €51m and a small €4m reduction in Advertising &amp; promotion partly offset gross-margin pressure.</t>
  </si>
  <si>
    <r>
      <rPr>
        <sz val="12"/>
        <color theme="1"/>
        <rFont val="Aptos Narrow"/>
        <scheme val="minor"/>
      </rPr>
      <t>Forecast methodology</t>
    </r>
    <r>
      <rPr>
        <b/>
        <sz val="12"/>
        <color theme="1"/>
        <rFont val="Aptos Narrow"/>
        <family val="2"/>
        <scheme val="minor"/>
      </rPr>
      <t>:</t>
    </r>
    <r>
      <rPr>
        <sz val="12"/>
        <color theme="1"/>
        <rFont val="Aptos Narrow"/>
        <family val="2"/>
        <scheme val="minor"/>
      </rPr>
      <t xml:space="preserve"> 2026 forecast combines a trend-based starting point with analyst-defined revenue growth, gross-margin, operating-cost and effective-tax-rate assumptions. Scenario assumptions are illustrative and do not represent company guidance.</t>
    </r>
  </si>
  <si>
    <t>Revenue Analysis, Costs Analysis, Profitability Bridge, Scenario Analysis</t>
  </si>
  <si>
    <t>FrieslandCampina public financial reporting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</si>
</sst>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2" formatCode="_(&quot;₫&quot;* #,##0_);_(&quot;₫&quot;* \(#,##0\);_(&quot;₫&quot;* &quot;-&quot;_);_(@_)"/>
    <numFmt numFmtId="41" formatCode="_(* #,##0_);_(* \(#,##0\);_(* &quot;-&quot;_);_(@_)"/>
    <numFmt numFmtId="164" formatCode="_([$€-2]\ * #,##0.00_);_([$€-2]\ * \(#,##0.00\);_([$€-2]\ * &quot;-&quot;??_);_(@_)"/>
    <numFmt numFmtId="165" formatCode="yyyy\A"/>
    <numFmt numFmtId="166" formatCode="yyyy\E"/>
  </numFmts>
  <fonts count="18" x14ac:knownFonts="1">
    <font>
      <sz val="12"/>
      <color theme="1"/>
      <name val="Aptos Narrow"/>
      <family val="2"/>
      <scheme val="minor"/>
    </font>
    <font>
      <sz val="12"/>
      <color theme="1"/>
      <name val="Aptos Narrow"/>
      <family val="2"/>
      <scheme val="minor"/>
    </font>
    <font>
      <b/>
      <sz val="12"/>
      <color theme="1"/>
      <name val="Aptos Narrow"/>
      <family val="2"/>
      <scheme val="minor"/>
    </font>
    <font>
      <b/>
      <sz val="12"/>
      <color theme="1"/>
      <name val="Aptos Narrow"/>
      <scheme val="minor"/>
    </font>
    <font>
      <sz val="12"/>
      <color rgb="FF000000"/>
      <name val="Aptos Narrow"/>
      <family val="2"/>
      <scheme val="minor"/>
    </font>
    <font>
      <b/>
      <sz val="12"/>
      <color theme="0"/>
      <name val="Aptos Narrow"/>
      <family val="2"/>
      <scheme val="minor"/>
    </font>
    <font>
      <b/>
      <sz val="12"/>
      <color theme="0"/>
      <name val="Aptos Narrow"/>
      <scheme val="minor"/>
    </font>
    <font>
      <b/>
      <sz val="14"/>
      <color theme="0"/>
      <name val="Aptos Narrow"/>
      <scheme val="minor"/>
    </font>
    <font>
      <b/>
      <sz val="22"/>
      <color theme="0"/>
      <name val="Aptos Narrow"/>
      <scheme val="minor"/>
    </font>
    <font>
      <sz val="12"/>
      <color theme="1"/>
      <name val="Aptos Narrow"/>
      <scheme val="minor"/>
    </font>
    <font>
      <i/>
      <sz val="12"/>
      <color theme="0" tint="-0.499984740745262"/>
      <name val="Aptos Narrow"/>
      <scheme val="minor"/>
    </font>
    <font>
      <u/>
      <sz val="12"/>
      <color theme="10"/>
      <name val="Aptos Narrow"/>
      <family val="2"/>
      <scheme val="minor"/>
    </font>
    <font>
      <i/>
      <sz val="12"/>
      <color theme="2" tint="-0.499984740745262"/>
      <name val="Aptos Narrow"/>
      <scheme val="minor"/>
    </font>
    <font>
      <sz val="12"/>
      <color rgb="FF00B0F0"/>
      <name val="Aptos Narrow"/>
      <family val="2"/>
      <scheme val="minor"/>
    </font>
    <font>
      <b/>
      <i/>
      <sz val="12"/>
      <color theme="2" tint="-0.249977111117893"/>
      <name val="Aptos Narrow"/>
      <scheme val="minor"/>
    </font>
    <font>
      <i/>
      <sz val="12"/>
      <color theme="2" tint="-0.249977111117893"/>
      <name val="Aptos Narrow"/>
      <scheme val="minor"/>
    </font>
    <font>
      <b/>
      <i/>
      <sz val="12"/>
      <color theme="0"/>
      <name val="Aptos Narrow"/>
      <scheme val="minor"/>
    </font>
    <font>
      <sz val="12"/>
      <color rgb="FF0432FF"/>
      <name val="Aptos Narrow"/>
      <family val="2"/>
      <scheme val="minor"/>
    </font>
  </fonts>
  <fills count="6">
    <fill>
      <patternFill patternType="none"/>
    </fill>
    <fill>
      <patternFill patternType="gray125"/>
    </fill>
    <fill>
      <patternFill patternType="solid">
        <fgColor theme="3" tint="9.9978637043366805E-2"/>
        <bgColor indexed="64"/>
      </patternFill>
    </fill>
    <fill>
      <patternFill patternType="solid">
        <fgColor theme="3" tint="0.249977111117893"/>
        <bgColor indexed="64"/>
      </patternFill>
    </fill>
    <fill>
      <patternFill patternType="solid">
        <fgColor theme="3" tint="0.749992370372631"/>
        <bgColor indexed="64"/>
      </patternFill>
    </fill>
    <fill>
      <patternFill patternType="solid">
        <fgColor theme="3" tint="0.89999084444715716"/>
        <bgColor indexed="64"/>
      </patternFill>
    </fill>
  </fills>
  <borders count="2">
    <border>
      <left/>
      <right/>
      <top/>
      <bottom/>
      <diagonal/>
    </border>
    <border>
      <left/>
      <right/>
      <top/>
      <bottom style="thin">
        <color indexed="64"/>
      </bottom>
      <diagonal/>
    </border>
  </borders>
  <cellStyleXfs count="5">
    <xf numFmtId="0" fontId="0" fillId="0" borderId="0"/>
    <xf numFmtId="9"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0" fontId="11" fillId="0" borderId="0" applyNumberFormat="0" applyFill="0" applyBorder="0" applyAlignment="0" applyProtection="0"/>
  </cellStyleXfs>
  <cellXfs count="97">
    <xf numFmtId="0" fontId="0" fillId="0" borderId="0" xfId="0"/>
    <xf numFmtId="3" fontId="0" fillId="0" borderId="0" xfId="0" applyNumberFormat="1"/>
    <xf numFmtId="0" fontId="3" fillId="0" borderId="0" xfId="0" applyFont="1"/>
    <xf numFmtId="3" fontId="3" fillId="0" borderId="0" xfId="0" applyNumberFormat="1" applyFont="1"/>
    <xf numFmtId="0" fontId="3" fillId="0" borderId="1" xfId="0" applyFont="1" applyBorder="1"/>
    <xf numFmtId="9" fontId="0" fillId="0" borderId="0" xfId="1" applyFont="1"/>
    <xf numFmtId="0" fontId="2" fillId="0" borderId="0" xfId="0" applyFont="1"/>
    <xf numFmtId="10" fontId="0" fillId="0" borderId="0" xfId="1" applyNumberFormat="1" applyFont="1"/>
    <xf numFmtId="0" fontId="0" fillId="0" borderId="0" xfId="0" applyAlignment="1">
      <alignment horizontal="left" indent="1"/>
    </xf>
    <xf numFmtId="0" fontId="2" fillId="0" borderId="0" xfId="0" applyFont="1" applyAlignment="1">
      <alignment wrapText="1"/>
    </xf>
    <xf numFmtId="0" fontId="3" fillId="0" borderId="0" xfId="0" applyFont="1" applyAlignment="1">
      <alignment wrapText="1"/>
    </xf>
    <xf numFmtId="0" fontId="3" fillId="0" borderId="0" xfId="0" applyFont="1" applyAlignment="1">
      <alignment horizontal="left" wrapText="1"/>
    </xf>
    <xf numFmtId="10" fontId="3" fillId="0" borderId="0" xfId="1" applyNumberFormat="1" applyFont="1"/>
    <xf numFmtId="0" fontId="0" fillId="0" borderId="0" xfId="0" applyAlignment="1">
      <alignment horizontal="left" wrapText="1"/>
    </xf>
    <xf numFmtId="164" fontId="0" fillId="0" borderId="0" xfId="2" applyNumberFormat="1" applyFont="1"/>
    <xf numFmtId="0" fontId="3" fillId="0" borderId="0" xfId="0" applyFont="1" applyAlignment="1">
      <alignment horizontal="left"/>
    </xf>
    <xf numFmtId="0" fontId="5" fillId="2" borderId="0" xfId="0" applyFont="1" applyFill="1"/>
    <xf numFmtId="0" fontId="6" fillId="2" borderId="0" xfId="0" applyFont="1" applyFill="1"/>
    <xf numFmtId="0" fontId="5" fillId="2" borderId="0" xfId="0" applyFont="1" applyFill="1" applyAlignment="1">
      <alignment horizontal="center"/>
    </xf>
    <xf numFmtId="0" fontId="6" fillId="2" borderId="0" xfId="0" applyFont="1" applyFill="1" applyAlignment="1">
      <alignment horizontal="center"/>
    </xf>
    <xf numFmtId="3" fontId="0" fillId="0" borderId="0" xfId="0" applyNumberFormat="1" applyAlignment="1">
      <alignment horizontal="left"/>
    </xf>
    <xf numFmtId="10" fontId="0" fillId="0" borderId="0" xfId="1" applyNumberFormat="1" applyFont="1" applyBorder="1" applyAlignment="1">
      <alignment horizontal="left"/>
    </xf>
    <xf numFmtId="10" fontId="0" fillId="0" borderId="0" xfId="0" applyNumberFormat="1" applyAlignment="1">
      <alignment horizontal="left"/>
    </xf>
    <xf numFmtId="0" fontId="3" fillId="0" borderId="0" xfId="0" applyFont="1" applyAlignment="1">
      <alignment horizontal="center"/>
    </xf>
    <xf numFmtId="0" fontId="2" fillId="0" borderId="0" xfId="0" applyFont="1" applyAlignment="1">
      <alignment horizontal="center"/>
    </xf>
    <xf numFmtId="10" fontId="2" fillId="0" borderId="0" xfId="1" applyNumberFormat="1" applyFont="1" applyAlignment="1">
      <alignment horizontal="center"/>
    </xf>
    <xf numFmtId="10" fontId="0" fillId="0" borderId="0" xfId="1" applyNumberFormat="1" applyFont="1" applyAlignment="1">
      <alignment horizontal="left"/>
    </xf>
    <xf numFmtId="10" fontId="3" fillId="0" borderId="0" xfId="1" applyNumberFormat="1" applyFont="1" applyAlignment="1">
      <alignment horizontal="left"/>
    </xf>
    <xf numFmtId="0" fontId="9" fillId="0" borderId="0" xfId="0" applyFont="1" applyAlignment="1">
      <alignment wrapText="1"/>
    </xf>
    <xf numFmtId="0" fontId="0" fillId="0" borderId="0" xfId="0" applyAlignment="1">
      <alignment vertical="center"/>
    </xf>
    <xf numFmtId="0" fontId="7" fillId="3" borderId="0" xfId="0" applyFont="1" applyFill="1" applyAlignment="1">
      <alignment vertical="center" wrapText="1"/>
    </xf>
    <xf numFmtId="0" fontId="7" fillId="3" borderId="0" xfId="0" applyFont="1" applyFill="1" applyAlignment="1">
      <alignment vertical="center"/>
    </xf>
    <xf numFmtId="10" fontId="7" fillId="3" borderId="0" xfId="1" applyNumberFormat="1" applyFont="1" applyFill="1" applyAlignment="1">
      <alignment vertical="center"/>
    </xf>
    <xf numFmtId="0" fontId="7" fillId="0" borderId="0" xfId="0" applyFont="1"/>
    <xf numFmtId="0" fontId="3" fillId="4" borderId="0" xfId="0" applyFont="1" applyFill="1"/>
    <xf numFmtId="0" fontId="3" fillId="4" borderId="0" xfId="0" applyFont="1" applyFill="1" applyAlignment="1">
      <alignment horizontal="left"/>
    </xf>
    <xf numFmtId="0" fontId="10" fillId="0" borderId="0" xfId="0" applyFont="1"/>
    <xf numFmtId="0" fontId="6" fillId="3" borderId="0" xfId="0" applyFont="1" applyFill="1"/>
    <xf numFmtId="0" fontId="7" fillId="3" borderId="0" xfId="0" applyFont="1" applyFill="1"/>
    <xf numFmtId="0" fontId="0" fillId="0" borderId="0" xfId="0" applyAlignment="1">
      <alignment horizontal="left" vertical="center"/>
    </xf>
    <xf numFmtId="0" fontId="6" fillId="2" borderId="0" xfId="0" applyFont="1" applyFill="1" applyAlignment="1">
      <alignment horizontal="left" vertical="center"/>
    </xf>
    <xf numFmtId="0" fontId="6" fillId="2" borderId="0" xfId="0" applyFont="1" applyFill="1" applyAlignment="1">
      <alignment vertical="center"/>
    </xf>
    <xf numFmtId="10" fontId="0" fillId="0" borderId="0" xfId="0" applyNumberFormat="1"/>
    <xf numFmtId="165" fontId="3" fillId="0" borderId="1" xfId="0" applyNumberFormat="1" applyFont="1" applyBorder="1"/>
    <xf numFmtId="166" fontId="3" fillId="0" borderId="1" xfId="0" applyNumberFormat="1" applyFont="1" applyBorder="1"/>
    <xf numFmtId="10" fontId="13" fillId="0" borderId="0" xfId="0" applyNumberFormat="1" applyFont="1"/>
    <xf numFmtId="1" fontId="0" fillId="0" borderId="0" xfId="0" applyNumberFormat="1"/>
    <xf numFmtId="0" fontId="3" fillId="5" borderId="0" xfId="0" applyFont="1" applyFill="1"/>
    <xf numFmtId="0" fontId="0" fillId="0" borderId="1" xfId="0" applyBorder="1"/>
    <xf numFmtId="0" fontId="14" fillId="0" borderId="0" xfId="0" applyFont="1"/>
    <xf numFmtId="0" fontId="15" fillId="0" borderId="0" xfId="0" applyFont="1"/>
    <xf numFmtId="0" fontId="14" fillId="0" borderId="1" xfId="0" applyFont="1" applyBorder="1"/>
    <xf numFmtId="165" fontId="14" fillId="0" borderId="1" xfId="0" applyNumberFormat="1" applyFont="1" applyBorder="1"/>
    <xf numFmtId="166" fontId="14" fillId="0" borderId="1" xfId="0" applyNumberFormat="1" applyFont="1" applyBorder="1"/>
    <xf numFmtId="3" fontId="15" fillId="0" borderId="0" xfId="0" applyNumberFormat="1" applyFont="1"/>
    <xf numFmtId="10" fontId="15" fillId="0" borderId="0" xfId="0" applyNumberFormat="1" applyFont="1"/>
    <xf numFmtId="3" fontId="14" fillId="0" borderId="0" xfId="0" applyNumberFormat="1" applyFont="1"/>
    <xf numFmtId="0" fontId="3" fillId="0" borderId="0" xfId="0" applyFont="1" applyAlignment="1">
      <alignment vertical="center"/>
    </xf>
    <xf numFmtId="3" fontId="3" fillId="4" borderId="0" xfId="0" applyNumberFormat="1" applyFont="1" applyFill="1" applyAlignment="1">
      <alignment horizontal="left"/>
    </xf>
    <xf numFmtId="3" fontId="9" fillId="0" borderId="0" xfId="0" applyNumberFormat="1" applyFont="1" applyAlignment="1">
      <alignment horizontal="left"/>
    </xf>
    <xf numFmtId="3" fontId="3" fillId="0" borderId="0" xfId="0" applyNumberFormat="1" applyFont="1" applyAlignment="1">
      <alignment horizontal="left"/>
    </xf>
    <xf numFmtId="3" fontId="7" fillId="3" borderId="0" xfId="0" applyNumberFormat="1" applyFont="1" applyFill="1" applyAlignment="1">
      <alignment vertical="center"/>
    </xf>
    <xf numFmtId="3" fontId="2" fillId="0" borderId="0" xfId="0" applyNumberFormat="1" applyFont="1" applyAlignment="1">
      <alignment horizontal="center"/>
    </xf>
    <xf numFmtId="3" fontId="3" fillId="0" borderId="0" xfId="0" applyNumberFormat="1" applyFont="1" applyAlignment="1">
      <alignment horizontal="center"/>
    </xf>
    <xf numFmtId="3" fontId="17" fillId="0" borderId="0" xfId="3" applyNumberFormat="1" applyFont="1" applyBorder="1" applyAlignment="1">
      <alignment horizontal="left"/>
    </xf>
    <xf numFmtId="3" fontId="17" fillId="0" borderId="0" xfId="0" applyNumberFormat="1" applyFont="1" applyAlignment="1">
      <alignment horizontal="left"/>
    </xf>
    <xf numFmtId="0" fontId="17" fillId="0" borderId="0" xfId="0" applyFont="1" applyAlignment="1">
      <alignment horizontal="left"/>
    </xf>
    <xf numFmtId="10" fontId="17" fillId="0" borderId="0" xfId="0" applyNumberFormat="1" applyFont="1"/>
    <xf numFmtId="0" fontId="17" fillId="0" borderId="0" xfId="0" applyFont="1"/>
    <xf numFmtId="1" fontId="17" fillId="0" borderId="0" xfId="0" applyNumberFormat="1" applyFont="1"/>
    <xf numFmtId="3" fontId="17" fillId="0" borderId="0" xfId="0" applyNumberFormat="1" applyFont="1"/>
    <xf numFmtId="0" fontId="0" fillId="0" borderId="0" xfId="0" applyAlignment="1">
      <alignment horizontal="left"/>
    </xf>
    <xf numFmtId="0" fontId="8" fillId="2" borderId="0" xfId="0" applyFont="1" applyFill="1" applyAlignment="1">
      <alignment horizontal="left" vertical="center"/>
    </xf>
    <xf numFmtId="0" fontId="7" fillId="3" borderId="0" xfId="0" applyFont="1" applyFill="1" applyAlignment="1">
      <alignment horizontal="left"/>
    </xf>
    <xf numFmtId="0" fontId="3" fillId="0" borderId="0" xfId="0" applyFont="1" applyAlignment="1">
      <alignment horizontal="left"/>
    </xf>
    <xf numFmtId="0" fontId="8" fillId="2" borderId="0" xfId="0" applyFont="1" applyFill="1" applyAlignment="1">
      <alignment horizontal="left"/>
    </xf>
    <xf numFmtId="0" fontId="0" fillId="0" borderId="0" xfId="0" applyAlignment="1">
      <alignment wrapText="1"/>
    </xf>
    <xf numFmtId="0" fontId="0" fillId="0" borderId="0" xfId="0"/>
    <xf numFmtId="0" fontId="7" fillId="3" borderId="0" xfId="0" applyFont="1" applyFill="1"/>
    <xf numFmtId="0" fontId="10" fillId="0" borderId="0" xfId="0" applyFont="1"/>
    <xf numFmtId="0" fontId="4" fillId="0" borderId="0" xfId="0" applyFont="1" applyAlignment="1">
      <alignment vertical="center"/>
    </xf>
    <xf numFmtId="0" fontId="4" fillId="0" borderId="0" xfId="0" applyFont="1" applyAlignment="1">
      <alignment horizontal="left" vertical="center"/>
    </xf>
    <xf numFmtId="0" fontId="0" fillId="0" borderId="0" xfId="0" quotePrefix="1" applyAlignment="1">
      <alignment wrapText="1"/>
    </xf>
    <xf numFmtId="0" fontId="7" fillId="3" borderId="0" xfId="0" applyFont="1" applyFill="1" applyAlignment="1">
      <alignment horizontal="left" vertical="center"/>
    </xf>
    <xf numFmtId="0" fontId="7" fillId="3" borderId="0" xfId="0" applyFont="1" applyFill="1" applyAlignment="1">
      <alignment vertical="center"/>
    </xf>
    <xf numFmtId="0" fontId="16" fillId="3" borderId="0" xfId="0" applyFont="1" applyFill="1"/>
    <xf numFmtId="0" fontId="8" fillId="2" borderId="0" xfId="0" applyFont="1" applyFill="1" applyAlignment="1">
      <alignment vertical="center"/>
    </xf>
    <xf numFmtId="0" fontId="6" fillId="2" borderId="0" xfId="0" applyFont="1" applyFill="1" applyAlignment="1">
      <alignment horizontal="center"/>
    </xf>
    <xf numFmtId="0" fontId="0" fillId="0" borderId="0" xfId="0" applyAlignment="1">
      <alignment vertical="center"/>
    </xf>
    <xf numFmtId="0" fontId="12" fillId="0" borderId="0" xfId="0" applyFont="1"/>
    <xf numFmtId="0" fontId="6" fillId="2" borderId="0" xfId="0" applyFont="1" applyFill="1" applyAlignment="1">
      <alignment vertical="center"/>
    </xf>
    <xf numFmtId="0" fontId="6" fillId="2" borderId="0" xfId="0" applyFont="1" applyFill="1" applyAlignment="1">
      <alignment horizontal="left" vertical="center"/>
    </xf>
    <xf numFmtId="0" fontId="0" fillId="0" borderId="0" xfId="0" applyAlignment="1">
      <alignment vertical="center" wrapText="1"/>
    </xf>
    <xf numFmtId="0" fontId="6" fillId="2" borderId="0" xfId="0" applyFont="1" applyFill="1" applyAlignment="1">
      <alignment horizontal="left"/>
    </xf>
    <xf numFmtId="0" fontId="11" fillId="0" borderId="0" xfId="4" applyAlignment="1">
      <alignment horizontal="left" vertical="center"/>
    </xf>
    <xf numFmtId="0" fontId="0" fillId="0" borderId="0" xfId="0" applyAlignment="1">
      <alignment horizontal="left" vertical="center"/>
    </xf>
    <xf numFmtId="10" fontId="0" fillId="0" borderId="0" xfId="0" applyNumberFormat="1" applyFont="1"/>
  </cellXfs>
  <cellStyles count="5">
    <cellStyle name="Comma [0]" xfId="3" builtinId="6"/>
    <cellStyle name="Currency [0]" xfId="2" builtinId="7"/>
    <cellStyle name="Hyperlink" xfId="4" builtinId="8"/>
    <cellStyle name="Normal" xfId="0" builtinId="0"/>
    <cellStyle name="Percent" xfId="1" builtinId="5"/>
  </cellStyles>
  <dxfs count="52">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9C0006"/>
      </font>
    </dxf>
    <dxf>
      <font>
        <strike val="0"/>
        <color rgb="FFFF0000"/>
      </font>
    </dxf>
    <dxf>
      <alignment horizontal="left" vertical="bottom" textRotation="0" wrapText="0" indent="0" justifyLastLine="0" shrinkToFit="0" readingOrder="0"/>
    </dxf>
    <dxf>
      <font>
        <b/>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4" formatCode="0.00%"/>
      <alignment horizontal="left" vertical="bottom" textRotation="0" wrapText="0" indent="0" justifyLastLine="0" shrinkToFit="0" readingOrder="0"/>
    </dxf>
    <dxf>
      <numFmt numFmtId="3" formatCode="#,##0"/>
      <alignment horizontal="left" vertical="bottom" textRotation="0" wrapText="0" indent="0" justifyLastLine="0" shrinkToFit="0" readingOrder="0"/>
    </dxf>
    <dxf>
      <font>
        <strike val="0"/>
        <outline val="0"/>
        <shadow val="0"/>
        <u val="none"/>
        <vertAlign val="baseline"/>
        <sz val="12"/>
        <color rgb="FF0432FF"/>
        <name val="Aptos Narrow"/>
        <family val="2"/>
        <scheme val="minor"/>
      </font>
      <numFmt numFmtId="3" formatCode="#,##0"/>
      <alignment horizontal="left" vertical="bottom" textRotation="0" wrapText="0" indent="0" justifyLastLine="0" shrinkToFit="0" readingOrder="0"/>
    </dxf>
    <dxf>
      <font>
        <strike val="0"/>
        <outline val="0"/>
        <shadow val="0"/>
        <u val="none"/>
        <vertAlign val="baseline"/>
        <sz val="12"/>
        <color rgb="FF0432FF"/>
        <name val="Aptos Narrow"/>
        <family val="2"/>
        <scheme val="minor"/>
      </font>
      <numFmt numFmtId="3" formatCode="#,##0"/>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2"/>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4" formatCode="0.00%"/>
      <alignment horizontal="left" vertical="bottom" textRotation="0" wrapText="0" indent="0" justifyLastLine="0" shrinkToFit="0" readingOrder="0"/>
    </dxf>
    <dxf>
      <numFmt numFmtId="3" formatCode="#,##0"/>
      <alignment horizontal="left" vertical="bottom" textRotation="0" wrapText="0" indent="0" justifyLastLine="0" shrinkToFit="0" readingOrder="0"/>
    </dxf>
    <dxf>
      <numFmt numFmtId="3" formatCode="#,##0"/>
      <alignment horizontal="left" vertical="bottom" textRotation="0" wrapText="0" indent="0" justifyLastLine="0" shrinkToFit="0" readingOrder="0"/>
    </dxf>
    <dxf>
      <numFmt numFmtId="3" formatCode="#,##0"/>
      <alignment horizontal="left" vertical="bottom" textRotation="0" wrapText="0" indent="0" justifyLastLine="0" shrinkToFit="0" readingOrder="0"/>
    </dxf>
    <dxf>
      <alignment horizontal="left" vertical="bottom" textRotation="0" wrapText="1"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2"/>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4" formatCode="0.00%"/>
      <alignment horizontal="left" vertical="bottom" textRotation="0" wrapText="0" indent="0" justifyLastLine="0" shrinkToFit="0" readingOrder="0"/>
    </dxf>
    <dxf>
      <font>
        <strike val="0"/>
        <outline val="0"/>
        <shadow val="0"/>
        <u val="none"/>
        <vertAlign val="baseline"/>
        <sz val="12"/>
        <color theme="1"/>
        <name val="Aptos Narrow"/>
        <scheme val="minor"/>
      </font>
      <numFmt numFmtId="3" formatCode="#,##0"/>
      <alignment horizontal="left" vertical="bottom" textRotation="0" wrapText="0" indent="0" justifyLastLine="0" shrinkToFit="0" readingOrder="0"/>
    </dxf>
    <dxf>
      <numFmt numFmtId="3" formatCode="#,##0"/>
      <alignment horizontal="left" vertical="bottom" textRotation="0" wrapText="0" indent="0" justifyLastLine="0" shrinkToFit="0" readingOrder="0"/>
    </dxf>
    <dxf>
      <numFmt numFmtId="3" formatCode="#,##0"/>
      <alignment horizontal="left" vertical="bottom" textRotation="0" wrapText="0" indent="0" justifyLastLine="0" shrinkToFit="0" readingOrder="0"/>
    </dxf>
    <dxf>
      <font>
        <i val="0"/>
      </font>
      <alignment horizontal="general" vertical="bottom" textRotation="0" wrapText="1"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2"/>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4" formatCode="0.00%"/>
      <alignment horizontal="left" vertical="bottom" textRotation="0" wrapText="0" indent="0" justifyLastLine="0" shrinkToFit="0" readingOrder="0"/>
    </dxf>
    <dxf>
      <numFmt numFmtId="14" formatCode="0.00%"/>
      <alignment horizontal="left" vertical="bottom" textRotation="0" wrapText="0" indent="0" justifyLastLine="0" shrinkToFit="0" readingOrder="0"/>
    </dxf>
    <dxf>
      <numFmt numFmtId="3" formatCode="#,##0"/>
      <alignment horizontal="left" vertical="bottom" textRotation="0" wrapText="0" indent="0" justifyLastLine="0" shrinkToFit="0" readingOrder="0"/>
    </dxf>
    <dxf>
      <numFmt numFmtId="3" formatCode="#,##0"/>
      <alignment horizontal="left" vertical="bottom" textRotation="0" wrapText="0" indent="0" justifyLastLine="0" shrinkToFit="0" readingOrder="0"/>
    </dxf>
    <dxf>
      <numFmt numFmtId="3" formatCode="#,##0"/>
      <alignment horizontal="left" vertical="bottom" textRotation="0" wrapText="0" indent="0" justifyLastLine="0" shrinkToFit="0" readingOrder="0"/>
    </dxf>
    <dxf>
      <font>
        <b/>
        <i val="0"/>
        <strike val="0"/>
        <condense val="0"/>
        <extend val="0"/>
        <outline val="0"/>
        <shadow val="0"/>
        <u val="none"/>
        <vertAlign val="baseline"/>
        <sz val="12"/>
        <color theme="1"/>
        <name val="Aptos Narrow"/>
        <scheme val="minor"/>
      </font>
    </dxf>
    <dxf>
      <numFmt numFmtId="14" formatCode="0.00%"/>
      <alignment horizontal="left" vertical="bottom" textRotation="0" wrapText="0" indent="0" justifyLastLine="0" shrinkToFit="0" readingOrder="0"/>
    </dxf>
    <dxf>
      <numFmt numFmtId="14" formatCode="0.00%"/>
      <alignment horizontal="left" vertical="bottom" textRotation="0" wrapText="0" indent="0" justifyLastLine="0" shrinkToFit="0" readingOrder="0"/>
    </dxf>
    <dxf>
      <numFmt numFmtId="14" formatCode="0.00%"/>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2"/>
        <color theme="0"/>
        <name val="Aptos Narrow"/>
        <scheme val="minor"/>
      </font>
      <fill>
        <patternFill patternType="solid">
          <fgColor indexed="64"/>
          <bgColor theme="3" tint="9.9978637043366805E-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4" formatCode="0.00%"/>
      <alignment horizontal="left" vertical="bottom" textRotation="0" wrapText="0" indent="0" justifyLastLine="0" shrinkToFit="0" readingOrder="0"/>
    </dxf>
    <dxf>
      <numFmt numFmtId="3" formatCode="#,##0"/>
      <alignment horizontal="left" vertical="bottom" textRotation="0" wrapText="0" indent="0" justifyLastLine="0" shrinkToFit="0" readingOrder="0"/>
    </dxf>
    <dxf>
      <font>
        <strike val="0"/>
        <outline val="0"/>
        <shadow val="0"/>
        <u val="none"/>
        <vertAlign val="baseline"/>
        <sz val="12"/>
        <color rgb="FF0432FF"/>
        <name val="Aptos Narrow"/>
        <family val="2"/>
        <scheme val="minor"/>
      </font>
      <numFmt numFmtId="3" formatCode="#,##0"/>
      <alignment horizontal="left" vertical="bottom" textRotation="0" wrapText="0" indent="0" justifyLastLine="0" shrinkToFit="0" readingOrder="0"/>
    </dxf>
    <dxf>
      <font>
        <strike val="0"/>
        <outline val="0"/>
        <shadow val="0"/>
        <u val="none"/>
        <vertAlign val="baseline"/>
        <sz val="12"/>
        <color rgb="FF0432FF"/>
        <name val="Aptos Narrow"/>
        <family val="2"/>
        <scheme val="minor"/>
      </font>
      <numFmt numFmtId="3" formatCode="#,##0"/>
      <alignment horizontal="left" vertical="bottom" textRotation="0" wrapText="0" indent="0" justifyLastLine="0" shrinkToFit="0" readingOrder="0"/>
    </dxf>
    <dxf>
      <font>
        <b/>
        <i val="0"/>
        <strike val="0"/>
        <condense val="0"/>
        <extend val="0"/>
        <outline val="0"/>
        <shadow val="0"/>
        <u val="none"/>
        <vertAlign val="baseline"/>
        <sz val="12"/>
        <color theme="0"/>
        <name val="Aptos Narrow"/>
        <family val="2"/>
        <scheme val="minor"/>
      </font>
      <fill>
        <patternFill patternType="solid">
          <fgColor indexed="64"/>
          <bgColor theme="3" tint="9.9978637043366805E-2"/>
        </patternFill>
      </fill>
      <alignment horizontal="center" vertical="bottom" textRotation="0" wrapText="0" indent="0" justifyLastLine="0" shrinkToFit="0" readingOrder="0"/>
    </dxf>
    <dxf>
      <font>
        <strike val="0"/>
        <color theme="0"/>
      </font>
      <fill>
        <patternFill>
          <bgColor theme="3" tint="9.9948118533890809E-2"/>
        </patternFill>
      </fill>
    </dxf>
    <dxf>
      <font>
        <u val="none"/>
      </font>
      <border>
        <bottom style="thin">
          <color theme="3" tint="0.749961851863155"/>
        </bottom>
        <horizontal style="thin">
          <color theme="3" tint="0.749961851863155"/>
        </horizontal>
      </border>
    </dxf>
  </dxfs>
  <tableStyles count="2" defaultTableStyle="TableStyleMedium2" defaultPivotStyle="PivotStyleLight16">
    <tableStyle name="Table Style 1" pivot="0" count="0" xr9:uid="{00A3A176-8DE6-BD40-8FC8-3F1E43EA4335}"/>
    <tableStyle name="Table Style 2" pivot="0" count="2" xr9:uid="{1BBF0F78-A184-884F-83D1-2701221F65FE}">
      <tableStyleElement type="wholeTable" dxfId="51"/>
      <tableStyleElement type="headerRow" dxfId="5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growth contribution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8-8780-CC42-B912-3D475C0FDBA5}"/>
              </c:ext>
            </c:extLst>
          </c:dPt>
          <c:dPt>
            <c:idx val="1"/>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7-8780-CC42-B912-3D475C0FDBA5}"/>
              </c:ext>
            </c:extLst>
          </c:dPt>
          <c:dPt>
            <c:idx val="2"/>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6-8780-CC42-B912-3D475C0FDBA5}"/>
              </c:ext>
            </c:extLst>
          </c:dPt>
          <c:dPt>
            <c:idx val="3"/>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5-8780-CC42-B912-3D475C0FDBA5}"/>
              </c:ext>
            </c:extLst>
          </c:dPt>
          <c:dPt>
            <c:idx val="4"/>
            <c:invertIfNegative val="0"/>
            <c:bubble3D val="0"/>
            <c:spPr>
              <a:solidFill>
                <a:schemeClr val="tx2">
                  <a:lumMod val="25000"/>
                  <a:lumOff val="75000"/>
                </a:schemeClr>
              </a:solidFill>
              <a:ln>
                <a:noFill/>
              </a:ln>
              <a:effectLst/>
            </c:spPr>
            <c:extLst>
              <c:ext xmlns:c16="http://schemas.microsoft.com/office/drawing/2014/chart" uri="{C3380CC4-5D6E-409C-BE32-E72D297353CC}">
                <c16:uniqueId val="{00000004-8780-CC42-B912-3D475C0FDBA5}"/>
              </c:ext>
            </c:extLst>
          </c:dPt>
          <c:dPt>
            <c:idx val="5"/>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8780-CC42-B912-3D475C0FDBA5}"/>
              </c:ext>
            </c:extLst>
          </c:dPt>
          <c:dPt>
            <c:idx val="6"/>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2-8780-CC42-B912-3D475C0FDBA5}"/>
              </c:ext>
            </c:extLst>
          </c:dPt>
          <c:dPt>
            <c:idx val="7"/>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0-8780-CC42-B912-3D475C0FDBA5}"/>
              </c:ext>
            </c:extLst>
          </c:dPt>
          <c:dPt>
            <c:idx val="8"/>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1-8780-CC42-B912-3D475C0FDBA5}"/>
              </c:ext>
            </c:extLst>
          </c:dPt>
          <c:cat>
            <c:strRef>
              <c:f>'Revenue Analysis'!$A$6:$A$14</c:f>
              <c:strCache>
                <c:ptCount val="9"/>
                <c:pt idx="0">
                  <c:v>Asia</c:v>
                </c:pt>
                <c:pt idx="1">
                  <c:v>Global Supply Chain</c:v>
                </c:pt>
                <c:pt idx="2">
                  <c:v>Other</c:v>
                </c:pt>
                <c:pt idx="3">
                  <c:v>Middle East, Pakistan &amp; Africa</c:v>
                </c:pt>
                <c:pt idx="4">
                  <c:v>Inredients</c:v>
                </c:pt>
                <c:pt idx="5">
                  <c:v>Europe</c:v>
                </c:pt>
                <c:pt idx="6">
                  <c:v>Specialised Nutrition</c:v>
                </c:pt>
                <c:pt idx="7">
                  <c:v>Retail &amp; Americas</c:v>
                </c:pt>
                <c:pt idx="8">
                  <c:v>Professional</c:v>
                </c:pt>
              </c:strCache>
            </c:strRef>
          </c:cat>
          <c:val>
            <c:numRef>
              <c:f>'Revenue Analysis'!$F$6:$F$14</c:f>
              <c:numCache>
                <c:formatCode>0.00%</c:formatCode>
                <c:ptCount val="9"/>
                <c:pt idx="0">
                  <c:v>-0.22978723404255319</c:v>
                </c:pt>
                <c:pt idx="1">
                  <c:v>-1.4893617021276596E-2</c:v>
                </c:pt>
                <c:pt idx="2">
                  <c:v>-6.382978723404255E-3</c:v>
                </c:pt>
                <c:pt idx="3">
                  <c:v>2.7659574468085105E-2</c:v>
                </c:pt>
                <c:pt idx="4">
                  <c:v>7.2340425531914887E-2</c:v>
                </c:pt>
                <c:pt idx="5">
                  <c:v>0.12553191489361701</c:v>
                </c:pt>
                <c:pt idx="6">
                  <c:v>0.27872340425531916</c:v>
                </c:pt>
                <c:pt idx="7">
                  <c:v>0.35319148936170214</c:v>
                </c:pt>
                <c:pt idx="8">
                  <c:v>0.39361702127659576</c:v>
                </c:pt>
              </c:numCache>
            </c:numRef>
          </c:val>
          <c:extLst>
            <c:ext xmlns:c16="http://schemas.microsoft.com/office/drawing/2014/chart" uri="{C3380CC4-5D6E-409C-BE32-E72D297353CC}">
              <c16:uniqueId val="{00000005-4AAD-2F4A-A544-A94A86439968}"/>
            </c:ext>
          </c:extLst>
        </c:ser>
        <c:dLbls>
          <c:showLegendKey val="0"/>
          <c:showVal val="0"/>
          <c:showCatName val="0"/>
          <c:showSerName val="0"/>
          <c:showPercent val="0"/>
          <c:showBubbleSize val="0"/>
        </c:dLbls>
        <c:gapWidth val="182"/>
        <c:axId val="2125082800"/>
        <c:axId val="332570303"/>
      </c:barChart>
      <c:catAx>
        <c:axId val="2125082800"/>
        <c:scaling>
          <c:orientation val="minMax"/>
        </c:scaling>
        <c:delete val="1"/>
        <c:axPos val="l"/>
        <c:numFmt formatCode="General" sourceLinked="1"/>
        <c:majorTickMark val="none"/>
        <c:minorTickMark val="none"/>
        <c:tickLblPos val="nextTo"/>
        <c:crossAx val="332570303"/>
        <c:crosses val="autoZero"/>
        <c:auto val="1"/>
        <c:lblAlgn val="ctr"/>
        <c:lblOffset val="100"/>
        <c:noMultiLvlLbl val="0"/>
      </c:catAx>
      <c:valAx>
        <c:axId val="3325703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Business Group</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V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212508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rich>
          <a:bodyPr spcFirstLastPara="1" vertOverflow="ellipsis" horzOverflow="overflow" wrap="square" lIns="0" tIns="0" rIns="0" bIns="0" anchor="ctr" anchorCtr="1"/>
          <a:lstStyle/>
          <a:p>
            <a:pPr algn="ctr" rtl="0">
              <a:defRPr sz="1200" b="1"/>
            </a:pPr>
            <a:r>
              <a:rPr lang="en-US" sz="1200" b="1" i="0" u="none" strike="noStrike" baseline="0">
                <a:solidFill>
                  <a:sysClr val="windowText" lastClr="000000">
                    <a:lumMod val="65000"/>
                    <a:lumOff val="35000"/>
                  </a:sysClr>
                </a:solidFill>
                <a:latin typeface="Aptos Narrow" panose="02110004020202020204"/>
              </a:rPr>
              <a:t> </a:t>
            </a:r>
            <a:r>
              <a:rPr lang="en-US" sz="1400" b="1" i="0" u="none" strike="noStrike" baseline="0">
                <a:solidFill>
                  <a:sysClr val="windowText" lastClr="000000">
                    <a:lumMod val="65000"/>
                    <a:lumOff val="35000"/>
                  </a:sysClr>
                </a:solidFill>
                <a:latin typeface="Aptos Narrow" panose="02110004020202020204"/>
              </a:rPr>
              <a:t>Operating profit bridge impacts</a:t>
            </a:r>
          </a:p>
        </cx:rich>
      </cx:tx>
      <cx:extLst>
        <cx:ext uri="ext:featex">
          <cx:featureExtension feature="mp" drop="onModelChange">
            <cx:offset top="0.069444447755813599" left="0.013888888992369175"/>
          </cx:featureExtension>
        </cx:ext>
      </cx:extLst>
    </cx:title>
    <cx:plotArea>
      <cx:plotAreaRegion>
        <cx:series layoutId="waterfall" uniqueId="{4D4DA67D-4BC6-0642-BD79-AA1326B940B1}">
          <cx:dataLabels pos="outEnd">
            <cx:visibility seriesName="0" categoryName="0" value="1"/>
            <cx:separator>, </cx:separator>
          </cx:dataLabels>
          <cx:dataId val="0"/>
          <cx:layoutPr>
            <cx:subtotals/>
          </cx:layoutPr>
        </cx:series>
      </cx:plotAreaRegion>
      <cx:axis id="0" hidden="1">
        <cx:catScaling gapWidth="0.5"/>
        <cx:tickLabels/>
      </cx:axis>
      <cx:axis id="1" hidden="1">
        <cx:valScaling/>
        <cx:majorGridlines/>
        <cx:tickLabels/>
      </cx:axis>
    </cx:plotArea>
  </cx:chart>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7</xdr:col>
      <xdr:colOff>125629</xdr:colOff>
      <xdr:row>4</xdr:row>
      <xdr:rowOff>6601</xdr:rowOff>
    </xdr:from>
    <xdr:to>
      <xdr:col>14</xdr:col>
      <xdr:colOff>435784</xdr:colOff>
      <xdr:row>18</xdr:row>
      <xdr:rowOff>145553</xdr:rowOff>
    </xdr:to>
    <xdr:graphicFrame macro="">
      <xdr:nvGraphicFramePr>
        <xdr:cNvPr id="2" name="Chart 1">
          <a:extLst>
            <a:ext uri="{FF2B5EF4-FFF2-40B4-BE49-F238E27FC236}">
              <a16:creationId xmlns:a16="http://schemas.microsoft.com/office/drawing/2014/main" id="{F10B63FA-5103-D580-5478-DC6C71D975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273050</xdr:colOff>
      <xdr:row>3</xdr:row>
      <xdr:rowOff>57150</xdr:rowOff>
    </xdr:from>
    <xdr:to>
      <xdr:col>9</xdr:col>
      <xdr:colOff>717550</xdr:colOff>
      <xdr:row>16</xdr:row>
      <xdr:rowOff>82550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4C94069-04E1-42B2-6D45-03BCA6077EC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274050" y="9207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E07009-FA3C-3845-ADC3-4ECA83D2B403}" name="Table2" displayName="Table2" ref="A4:E9" totalsRowShown="0" headerRowDxfId="49">
  <autoFilter ref="A4:E9" xr:uid="{EDE07009-FA3C-3845-ADC3-4ECA83D2B403}"/>
  <tableColumns count="5">
    <tableColumn id="1" xr3:uid="{9FF950E5-C151-864F-8BEA-19714B451320}" name="Financial KPI"/>
    <tableColumn id="2" xr3:uid="{CD991253-43E4-CE45-ACB4-B54BC00D6731}" name="2025" dataDxfId="48"/>
    <tableColumn id="3" xr3:uid="{6C11F0B6-1A64-7C41-82DA-2295733F85FD}" name="2024" dataDxfId="47"/>
    <tableColumn id="4" xr3:uid="{61D8D104-4880-CD47-ACA7-D4D6CA1E5939}" name="Change" dataDxfId="46">
      <calculatedColumnFormula>B5-C5</calculatedColumnFormula>
    </tableColumn>
    <tableColumn id="5" xr3:uid="{2E47B9F4-0D92-1847-BE40-5553A52BF493}" name="% Change" dataDxfId="45" dataCellStyle="Percent">
      <calculatedColumnFormula>D5/C5</calculatedColumnFormula>
    </tableColumn>
  </tableColumns>
  <tableStyleInfo name="Table Sty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9F9A861-D143-9345-A788-A5485661BAA3}" name="Table3" displayName="Table3" ref="A12:D15" totalsRowShown="0" headerRowDxfId="44" dataDxfId="43">
  <autoFilter ref="A12:D15" xr:uid="{69F9A861-D143-9345-A788-A5485661BAA3}"/>
  <tableColumns count="4">
    <tableColumn id="1" xr3:uid="{92495116-D69D-D04F-9E03-D0D5064C1BE9}" name="KPI"/>
    <tableColumn id="2" xr3:uid="{6E775FD3-2B6A-954F-9CF2-BF9545CD35C3}" name="2025" dataDxfId="42"/>
    <tableColumn id="3" xr3:uid="{47D52A6B-ECC1-D640-B81B-E8426E432C39}" name="2024" dataDxfId="41"/>
    <tableColumn id="4" xr3:uid="{9BF00F7F-2038-F149-8267-487DB85BDC6F}" name="Change" dataDxfId="40">
      <calculatedColumnFormula>B13-C13</calculatedColumnFormula>
    </tableColumn>
  </tableColumns>
  <tableStyleInfo name="Table Style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417D20-7735-354A-8AC3-99730489112C}" name="Table1" displayName="Table1" ref="A5:F15" totalsRowShown="0" headerRowDxfId="39">
  <autoFilter ref="A5:F15" xr:uid="{5B417D20-7735-354A-8AC3-99730489112C}"/>
  <tableColumns count="6">
    <tableColumn id="1" xr3:uid="{9BA04EBF-8FBF-8643-9E82-DB45589229BD}" name="Business group "/>
    <tableColumn id="2" xr3:uid="{F52A6EBE-9A2F-8944-A114-C8665FAC620C}" name="2025" dataDxfId="38"/>
    <tableColumn id="3" xr3:uid="{193A3B50-38A9-7840-9CAD-C5FEA11B6B0D}" name="2024" dataDxfId="37"/>
    <tableColumn id="4" xr3:uid="{1D221997-046F-EA49-9386-9184FBC77188}" name="Change" dataDxfId="36">
      <calculatedColumnFormula>B6-C6</calculatedColumnFormula>
    </tableColumn>
    <tableColumn id="5" xr3:uid="{7C055E22-89B1-D64E-8960-FCEF8FCC37E7}" name="Growth %" dataDxfId="35"/>
    <tableColumn id="6" xr3:uid="{642B0CCE-C8FE-2E4E-8558-28B13553507E}" name="Contributions to the total growth" dataDxfId="34" dataCellStyle="Percent"/>
  </tableColumns>
  <tableStyleInfo name="Table Style 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C5AB9A4-BE6D-D54C-A43F-592A15F12214}" name="Table4" displayName="Table4" ref="A5:E16" totalsRowShown="0" headerRowDxfId="33" dataDxfId="32">
  <autoFilter ref="A5:E16" xr:uid="{3C5AB9A4-BE6D-D54C-A43F-592A15F12214}"/>
  <tableColumns count="5">
    <tableColumn id="1" xr3:uid="{ADB3A385-AD40-3E41-A53F-FED59459B718}" name="Cost (in million euro)" dataDxfId="31"/>
    <tableColumn id="2" xr3:uid="{1545FC8B-5D49-EB42-B09F-061483D3349A}" name="2025 (€m)" dataDxfId="30"/>
    <tableColumn id="3" xr3:uid="{A091DDBA-9B43-9247-8D59-42F627B4E997}" name="2024 (€m)" dataDxfId="29"/>
    <tableColumn id="4" xr3:uid="{D42DB9E9-2CE4-F049-A700-ED7C30424BC1}" name="Change" dataDxfId="28">
      <calculatedColumnFormula>B6-C6</calculatedColumnFormula>
    </tableColumn>
    <tableColumn id="5" xr3:uid="{8B1B17F5-A4DA-734B-9F51-B04498FBC550}" name="% Change" dataDxfId="27" dataCellStyle="Percent">
      <calculatedColumnFormula>D6/C6</calculatedColumnFormula>
    </tableColumn>
  </tableColumns>
  <tableStyleInfo name="Table Style 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C53FA49-533B-C646-8711-ED314954BAF8}" name="Table5" displayName="Table5" ref="A20:E25" totalsRowShown="0" headerRowDxfId="26" dataDxfId="25">
  <autoFilter ref="A20:E25" xr:uid="{8C53FA49-533B-C646-8711-ED314954BAF8}"/>
  <tableColumns count="5">
    <tableColumn id="1" xr3:uid="{2CAA00B5-543D-6642-B8B5-A50636B1E60A}" name="Cost item" dataDxfId="24"/>
    <tableColumn id="2" xr3:uid="{D726C1D1-EBE5-DA41-AB2A-E7D76165BC29}" name="2025 (€m)" dataDxfId="23"/>
    <tableColumn id="3" xr3:uid="{E54D9A41-4EF4-F74B-B920-D1832AD020AB}" name="2024 (€m)" dataDxfId="22"/>
    <tableColumn id="4" xr3:uid="{298A4906-D4AD-8049-97FC-B9AE6A4DC8AE}" name="Change (€m)" dataDxfId="21">
      <calculatedColumnFormula>B21-C21</calculatedColumnFormula>
    </tableColumn>
    <tableColumn id="5" xr3:uid="{1BEE6943-A030-FE45-AA69-8994FE4A904E}" name="% Change " dataDxfId="20" dataCellStyle="Percent">
      <calculatedColumnFormula>D21/C21</calculatedColumnFormula>
    </tableColumn>
  </tableColumns>
  <tableStyleInfo name="Table Style 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5DAEEDF-4560-234A-BA51-90C3EB26E613}" name="Table6" displayName="Table6" ref="A29:E32" totalsRowShown="0" headerRowDxfId="19" dataDxfId="18">
  <autoFilter ref="A29:E32" xr:uid="{55DAEEDF-4560-234A-BA51-90C3EB26E613}"/>
  <tableColumns count="5">
    <tableColumn id="1" xr3:uid="{92EB0778-1AD2-A848-97C5-D6B4E4B62C01}" name="Item"/>
    <tableColumn id="2" xr3:uid="{2B6AE523-E1D1-B34B-861A-2CDF343240FB}" name="2025" dataDxfId="17"/>
    <tableColumn id="3" xr3:uid="{0B021AB0-7302-264C-8174-839E99EA8897}" name="2024" dataDxfId="16"/>
    <tableColumn id="4" xr3:uid="{6DE9E063-1B0F-A249-9DA5-81DAE15966A8}" name="Change" dataDxfId="15">
      <calculatedColumnFormula>B30-C30</calculatedColumnFormula>
    </tableColumn>
    <tableColumn id="5" xr3:uid="{2C82F544-A9E2-454D-A099-77DB7F08276C}" name="% Change" dataDxfId="14" dataCellStyle="Percent">
      <calculatedColumnFormula>D30/C30</calculatedColumnFormula>
    </tableColumn>
  </tableColumns>
  <tableStyleInfo name="Table Style 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15AD5D9-94FF-714A-9627-2603933BFEF7}" name="Table7" displayName="Table7" ref="A5:C13" totalsRowShown="0" headerRowDxfId="13">
  <autoFilter ref="A5:C13" xr:uid="{215AD5D9-94FF-714A-9627-2603933BFEF7}"/>
  <tableColumns count="3">
    <tableColumn id="1" xr3:uid="{AC352FD8-9F4A-1945-AF55-9D91AB48834E}" name="Bridge item"/>
    <tableColumn id="2" xr3:uid="{B11D8CE3-0F0F-1E44-A13A-F7D1978883C9}" name="Impact (€m)" dataDxfId="12"/>
    <tableColumn id="3" xr3:uid="{8EA60039-A71D-E342-8B7B-885E2D6DACD8}" name="Comment"/>
  </tableColumns>
  <tableStyleInfo name="Table Style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frieslandcampina.com/uploads/2026/09/FrieslandCampina-Annual-Report-20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336CD-92B4-0F4C-B6D4-6988A0929110}">
  <dimension ref="A1:I25"/>
  <sheetViews>
    <sheetView showGridLines="0" tabSelected="1" workbookViewId="0">
      <pane ySplit="4" topLeftCell="A5" activePane="bottomLeft" state="frozen"/>
      <selection pane="bottomLeft" activeCell="L15" sqref="L15"/>
    </sheetView>
  </sheetViews>
  <sheetFormatPr baseColWidth="10" defaultRowHeight="16" x14ac:dyDescent="0.2"/>
  <cols>
    <col min="1" max="1" width="20" customWidth="1"/>
    <col min="2" max="2" width="17.1640625" customWidth="1"/>
    <col min="9" max="9" width="15.33203125" customWidth="1"/>
  </cols>
  <sheetData>
    <row r="1" spans="1:9" ht="29" x14ac:dyDescent="0.35">
      <c r="A1" s="75" t="s">
        <v>176</v>
      </c>
      <c r="B1" s="75"/>
      <c r="C1" s="75"/>
      <c r="D1" s="75"/>
      <c r="E1" s="75"/>
      <c r="F1" s="75"/>
      <c r="G1" s="75"/>
      <c r="H1" s="75"/>
      <c r="I1" s="75"/>
    </row>
    <row r="2" spans="1:9" x14ac:dyDescent="0.2">
      <c r="A2" s="79" t="s">
        <v>109</v>
      </c>
      <c r="B2" s="79"/>
      <c r="C2" s="79"/>
      <c r="D2" s="79"/>
      <c r="E2" s="79"/>
      <c r="F2" s="79"/>
      <c r="G2" s="79"/>
      <c r="H2" s="79"/>
      <c r="I2" s="79"/>
    </row>
    <row r="3" spans="1:9" x14ac:dyDescent="0.2">
      <c r="A3" s="36"/>
      <c r="B3" s="36"/>
      <c r="C3" s="36"/>
      <c r="D3" s="36"/>
      <c r="E3" s="36"/>
      <c r="F3" s="36"/>
      <c r="G3" s="36"/>
      <c r="H3" s="36"/>
      <c r="I3" s="36"/>
    </row>
    <row r="5" spans="1:9" ht="19" x14ac:dyDescent="0.25">
      <c r="A5" s="73" t="s">
        <v>110</v>
      </c>
      <c r="B5" s="73"/>
      <c r="C5" s="73"/>
      <c r="D5" s="73"/>
      <c r="E5" s="73"/>
      <c r="F5" s="73"/>
      <c r="G5" s="73"/>
      <c r="H5" s="73"/>
      <c r="I5" s="73"/>
    </row>
    <row r="6" spans="1:9" ht="36" customHeight="1" x14ac:dyDescent="0.2">
      <c r="A6" s="76" t="s">
        <v>177</v>
      </c>
      <c r="B6" s="76"/>
      <c r="C6" s="76"/>
      <c r="D6" s="76"/>
      <c r="E6" s="76"/>
      <c r="F6" s="76"/>
      <c r="G6" s="76"/>
      <c r="H6" s="76"/>
      <c r="I6" s="76"/>
    </row>
    <row r="9" spans="1:9" ht="19" x14ac:dyDescent="0.25">
      <c r="A9" s="38" t="s">
        <v>111</v>
      </c>
      <c r="B9" s="37"/>
      <c r="C9" s="37"/>
      <c r="D9" s="37"/>
      <c r="E9" s="37"/>
      <c r="F9" s="37"/>
      <c r="G9" s="37"/>
      <c r="H9" s="37"/>
      <c r="I9" s="37"/>
    </row>
    <row r="10" spans="1:9" x14ac:dyDescent="0.2">
      <c r="A10" s="77" t="s">
        <v>112</v>
      </c>
      <c r="B10" s="77"/>
      <c r="C10" s="77"/>
      <c r="D10" s="77"/>
      <c r="E10" s="77"/>
      <c r="F10" s="77"/>
      <c r="G10" s="77"/>
      <c r="H10" s="77"/>
      <c r="I10" s="77"/>
    </row>
    <row r="11" spans="1:9" x14ac:dyDescent="0.2">
      <c r="A11" s="77" t="s">
        <v>113</v>
      </c>
      <c r="B11" s="77"/>
      <c r="C11" s="77"/>
      <c r="D11" s="77"/>
      <c r="E11" s="77"/>
      <c r="F11" s="77"/>
      <c r="G11" s="77"/>
      <c r="H11" s="77"/>
      <c r="I11" s="77"/>
    </row>
    <row r="12" spans="1:9" x14ac:dyDescent="0.2">
      <c r="A12" s="77" t="s">
        <v>114</v>
      </c>
      <c r="B12" s="77"/>
      <c r="C12" s="77"/>
      <c r="D12" s="77"/>
      <c r="E12" s="77"/>
      <c r="F12" s="77"/>
      <c r="G12" s="77"/>
      <c r="H12" s="77"/>
      <c r="I12" s="77"/>
    </row>
    <row r="15" spans="1:9" ht="19" x14ac:dyDescent="0.25">
      <c r="A15" s="38" t="s">
        <v>115</v>
      </c>
      <c r="B15" s="38"/>
      <c r="C15" s="38"/>
      <c r="D15" s="38"/>
      <c r="E15" s="38"/>
      <c r="F15" s="38"/>
      <c r="G15" s="38"/>
      <c r="H15" s="38"/>
      <c r="I15" s="38"/>
    </row>
    <row r="16" spans="1:9" x14ac:dyDescent="0.2">
      <c r="A16" s="77" t="s">
        <v>116</v>
      </c>
      <c r="B16" s="77"/>
      <c r="C16" s="77"/>
      <c r="D16" s="77"/>
      <c r="E16" s="77"/>
      <c r="F16" s="77"/>
      <c r="G16" s="77"/>
      <c r="H16" s="77"/>
      <c r="I16" s="77"/>
    </row>
    <row r="17" spans="1:9" x14ac:dyDescent="0.2">
      <c r="A17" s="77" t="s">
        <v>194</v>
      </c>
      <c r="B17" s="77"/>
      <c r="C17" s="77"/>
      <c r="D17" s="77"/>
      <c r="E17" s="77"/>
      <c r="F17" s="77"/>
      <c r="G17" s="77"/>
      <c r="H17" s="77"/>
      <c r="I17" s="77"/>
    </row>
    <row r="18" spans="1:9" x14ac:dyDescent="0.2">
      <c r="A18" s="77"/>
      <c r="B18" s="77"/>
      <c r="C18" s="77"/>
      <c r="D18" s="77"/>
      <c r="E18" s="77"/>
      <c r="F18" s="77"/>
      <c r="G18" s="77"/>
      <c r="H18" s="77"/>
      <c r="I18" s="77"/>
    </row>
    <row r="19" spans="1:9" ht="19" x14ac:dyDescent="0.25">
      <c r="A19" s="73" t="s">
        <v>117</v>
      </c>
      <c r="B19" s="73"/>
      <c r="C19" s="73"/>
      <c r="D19" s="73"/>
      <c r="E19" s="73"/>
      <c r="F19" s="73"/>
      <c r="G19" s="73"/>
      <c r="H19" s="73"/>
      <c r="I19" s="73"/>
    </row>
    <row r="20" spans="1:9" x14ac:dyDescent="0.2">
      <c r="A20" s="77" t="s">
        <v>118</v>
      </c>
      <c r="B20" s="77"/>
      <c r="C20" s="77"/>
      <c r="D20" s="77"/>
      <c r="E20" s="77"/>
      <c r="F20" s="77"/>
      <c r="G20" s="77"/>
      <c r="H20" s="77"/>
      <c r="I20" s="77"/>
    </row>
    <row r="21" spans="1:9" x14ac:dyDescent="0.2">
      <c r="A21" s="77" t="s">
        <v>119</v>
      </c>
      <c r="B21" s="77"/>
      <c r="C21" s="77"/>
      <c r="D21" s="77"/>
      <c r="E21" s="77"/>
      <c r="F21" s="77"/>
      <c r="G21" s="77"/>
      <c r="H21" s="77"/>
      <c r="I21" s="77"/>
    </row>
    <row r="22" spans="1:9" x14ac:dyDescent="0.2">
      <c r="A22" s="77" t="s">
        <v>120</v>
      </c>
      <c r="B22" s="77"/>
      <c r="C22" s="77"/>
      <c r="D22" s="77"/>
      <c r="E22" s="77"/>
      <c r="F22" s="77"/>
      <c r="G22" s="77"/>
      <c r="H22" s="77"/>
      <c r="I22" s="77"/>
    </row>
    <row r="23" spans="1:9" x14ac:dyDescent="0.2">
      <c r="A23" s="77"/>
      <c r="B23" s="77"/>
      <c r="C23" s="77"/>
      <c r="D23" s="77"/>
      <c r="E23" s="77"/>
      <c r="F23" s="77"/>
      <c r="G23" s="77"/>
      <c r="H23" s="77"/>
      <c r="I23" s="77"/>
    </row>
    <row r="24" spans="1:9" ht="19" x14ac:dyDescent="0.25">
      <c r="A24" s="78" t="s">
        <v>121</v>
      </c>
      <c r="B24" s="78"/>
      <c r="C24" s="78"/>
      <c r="D24" s="78"/>
      <c r="E24" s="78"/>
      <c r="F24" s="78"/>
      <c r="G24" s="78"/>
      <c r="H24" s="78"/>
      <c r="I24" s="78"/>
    </row>
    <row r="25" spans="1:9" x14ac:dyDescent="0.2">
      <c r="A25" s="77" t="s">
        <v>195</v>
      </c>
      <c r="B25" s="77"/>
      <c r="C25" s="77"/>
      <c r="D25" s="77"/>
      <c r="E25" s="77"/>
      <c r="F25" s="77"/>
      <c r="G25" s="77"/>
      <c r="H25" s="77"/>
      <c r="I25" s="77"/>
    </row>
  </sheetData>
  <mergeCells count="17">
    <mergeCell ref="A24:I24"/>
    <mergeCell ref="A25:I25"/>
    <mergeCell ref="A2:I2"/>
    <mergeCell ref="A17:I17"/>
    <mergeCell ref="A18:I18"/>
    <mergeCell ref="A20:I20"/>
    <mergeCell ref="A21:I21"/>
    <mergeCell ref="A22:I22"/>
    <mergeCell ref="A23:I23"/>
    <mergeCell ref="A1:I1"/>
    <mergeCell ref="A5:I5"/>
    <mergeCell ref="A19:I19"/>
    <mergeCell ref="A6:I6"/>
    <mergeCell ref="A10:I10"/>
    <mergeCell ref="A11:I11"/>
    <mergeCell ref="A12:I12"/>
    <mergeCell ref="A16:I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F49D1-3ABA-0541-A727-EC9AD4E0494E}">
  <dimension ref="A1:J27"/>
  <sheetViews>
    <sheetView showGridLines="0" workbookViewId="0">
      <pane ySplit="2" topLeftCell="A3" activePane="bottomLeft" state="frozen"/>
      <selection pane="bottomLeft" activeCell="B13" sqref="B13"/>
    </sheetView>
  </sheetViews>
  <sheetFormatPr baseColWidth="10" defaultRowHeight="16" x14ac:dyDescent="0.2"/>
  <cols>
    <col min="1" max="1" width="33.33203125" customWidth="1"/>
    <col min="2" max="5" width="15.83203125" customWidth="1"/>
    <col min="8" max="8" width="5.1640625" customWidth="1"/>
    <col min="9" max="9" width="4.6640625" customWidth="1"/>
    <col min="10" max="10" width="4.33203125" customWidth="1"/>
  </cols>
  <sheetData>
    <row r="1" spans="1:10" ht="42" customHeight="1" x14ac:dyDescent="0.2">
      <c r="A1" s="72" t="s">
        <v>53</v>
      </c>
      <c r="B1" s="72"/>
      <c r="C1" s="72"/>
      <c r="D1" s="72"/>
      <c r="E1" s="72"/>
      <c r="F1" s="72"/>
      <c r="G1" s="72"/>
      <c r="H1" s="72"/>
      <c r="I1" s="72"/>
      <c r="J1" s="72"/>
    </row>
    <row r="2" spans="1:10" ht="24" customHeight="1" x14ac:dyDescent="0.2">
      <c r="A2" s="71"/>
      <c r="B2" s="71"/>
      <c r="C2" s="71"/>
      <c r="D2" s="71"/>
      <c r="E2" s="71"/>
      <c r="F2" s="71"/>
      <c r="G2" s="71"/>
      <c r="H2" s="71"/>
      <c r="I2" s="71"/>
      <c r="J2" s="71"/>
    </row>
    <row r="3" spans="1:10" ht="19" x14ac:dyDescent="0.25">
      <c r="A3" s="73" t="s">
        <v>55</v>
      </c>
      <c r="B3" s="73"/>
      <c r="C3" s="73"/>
      <c r="D3" s="73"/>
      <c r="E3" s="73"/>
      <c r="F3" s="73"/>
      <c r="G3" s="73"/>
      <c r="H3" s="73"/>
      <c r="I3" s="73"/>
      <c r="J3" s="73"/>
    </row>
    <row r="4" spans="1:10" x14ac:dyDescent="0.2">
      <c r="A4" s="16" t="s">
        <v>18</v>
      </c>
      <c r="B4" s="18" t="s">
        <v>78</v>
      </c>
      <c r="C4" s="18" t="s">
        <v>79</v>
      </c>
      <c r="D4" s="18" t="s">
        <v>19</v>
      </c>
      <c r="E4" s="18" t="s">
        <v>20</v>
      </c>
    </row>
    <row r="5" spans="1:10" x14ac:dyDescent="0.2">
      <c r="A5" t="s">
        <v>21</v>
      </c>
      <c r="B5" s="64">
        <v>13393</v>
      </c>
      <c r="C5" s="65">
        <v>12923</v>
      </c>
      <c r="D5" s="20">
        <f>B5-C5</f>
        <v>470</v>
      </c>
      <c r="E5" s="21">
        <f>D5/C5</f>
        <v>3.6369264102762519E-2</v>
      </c>
    </row>
    <row r="6" spans="1:10" x14ac:dyDescent="0.2">
      <c r="A6" t="s">
        <v>22</v>
      </c>
      <c r="B6" s="65">
        <v>2036</v>
      </c>
      <c r="C6" s="65">
        <v>2073</v>
      </c>
      <c r="D6" s="20">
        <f t="shared" ref="D6:D9" si="0">B6-C6</f>
        <v>-37</v>
      </c>
      <c r="E6" s="21">
        <f t="shared" ref="E6:E9" si="1">D6/C6</f>
        <v>-1.7848528702363725E-2</v>
      </c>
    </row>
    <row r="7" spans="1:10" x14ac:dyDescent="0.2">
      <c r="A7" t="s">
        <v>23</v>
      </c>
      <c r="B7" s="65">
        <v>507</v>
      </c>
      <c r="C7" s="65">
        <v>527</v>
      </c>
      <c r="D7" s="20">
        <f t="shared" si="0"/>
        <v>-20</v>
      </c>
      <c r="E7" s="21">
        <f t="shared" si="1"/>
        <v>-3.7950664136622389E-2</v>
      </c>
    </row>
    <row r="8" spans="1:10" x14ac:dyDescent="0.2">
      <c r="A8" t="s">
        <v>24</v>
      </c>
      <c r="B8" s="65">
        <v>466</v>
      </c>
      <c r="C8" s="65">
        <v>473</v>
      </c>
      <c r="D8" s="20">
        <f t="shared" si="0"/>
        <v>-7</v>
      </c>
      <c r="E8" s="21">
        <f t="shared" si="1"/>
        <v>-1.4799154334038054E-2</v>
      </c>
    </row>
    <row r="9" spans="1:10" x14ac:dyDescent="0.2">
      <c r="A9" t="s">
        <v>25</v>
      </c>
      <c r="B9" s="65">
        <v>328</v>
      </c>
      <c r="C9" s="65">
        <v>321</v>
      </c>
      <c r="D9" s="20">
        <f t="shared" si="0"/>
        <v>7</v>
      </c>
      <c r="E9" s="21">
        <f t="shared" si="1"/>
        <v>2.1806853582554516E-2</v>
      </c>
    </row>
    <row r="11" spans="1:10" x14ac:dyDescent="0.2">
      <c r="A11" s="74" t="s">
        <v>56</v>
      </c>
      <c r="B11" s="74"/>
      <c r="C11" s="74"/>
      <c r="D11" s="74"/>
      <c r="E11" s="74"/>
      <c r="F11" s="74"/>
      <c r="G11" s="74"/>
      <c r="H11" s="74"/>
      <c r="I11" s="74"/>
      <c r="J11" s="74"/>
    </row>
    <row r="12" spans="1:10" x14ac:dyDescent="0.2">
      <c r="A12" s="17" t="s">
        <v>54</v>
      </c>
      <c r="B12" s="19" t="s">
        <v>78</v>
      </c>
      <c r="C12" s="19" t="s">
        <v>79</v>
      </c>
      <c r="D12" s="19" t="s">
        <v>19</v>
      </c>
    </row>
    <row r="13" spans="1:10" x14ac:dyDescent="0.2">
      <c r="A13" t="s">
        <v>57</v>
      </c>
      <c r="B13" s="22">
        <f>B6/B5</f>
        <v>0.15201971178974091</v>
      </c>
      <c r="C13" s="22">
        <f>C6/C5</f>
        <v>0.16041166911707808</v>
      </c>
      <c r="D13" s="22">
        <f>B13-C13</f>
        <v>-8.3919573273371628E-3</v>
      </c>
    </row>
    <row r="14" spans="1:10" x14ac:dyDescent="0.2">
      <c r="A14" t="s">
        <v>58</v>
      </c>
      <c r="B14" s="22">
        <f>B7/B5</f>
        <v>3.7855596206973791E-2</v>
      </c>
      <c r="C14" s="22">
        <f>C7/C5</f>
        <v>4.0780004642884782E-2</v>
      </c>
      <c r="D14" s="22">
        <f t="shared" ref="D14:D15" si="2">B14-C14</f>
        <v>-2.9244084359109912E-3</v>
      </c>
    </row>
    <row r="15" spans="1:10" x14ac:dyDescent="0.2">
      <c r="A15" t="s">
        <v>59</v>
      </c>
      <c r="B15" s="22">
        <f>B9/B5</f>
        <v>2.4490405435675353E-2</v>
      </c>
      <c r="C15" s="22">
        <f t="shared" ref="C15" si="3">C9/C5</f>
        <v>2.4839433568056953E-2</v>
      </c>
      <c r="D15" s="22">
        <f t="shared" si="2"/>
        <v>-3.4902813238159996E-4</v>
      </c>
    </row>
    <row r="17" spans="1:10" ht="19" x14ac:dyDescent="0.25">
      <c r="A17" s="73" t="s">
        <v>60</v>
      </c>
      <c r="B17" s="73"/>
      <c r="C17" s="73"/>
      <c r="D17" s="73"/>
      <c r="E17" s="73"/>
      <c r="F17" s="73"/>
      <c r="G17" s="73"/>
      <c r="H17" s="73"/>
      <c r="I17" s="73"/>
      <c r="J17" s="73"/>
    </row>
    <row r="18" spans="1:10" ht="20" customHeight="1" x14ac:dyDescent="0.2">
      <c r="A18" s="2" t="s">
        <v>61</v>
      </c>
      <c r="B18" s="71" t="s">
        <v>76</v>
      </c>
      <c r="C18" s="71"/>
      <c r="D18" s="71"/>
      <c r="E18" s="71"/>
      <c r="F18" s="71"/>
      <c r="G18" s="71"/>
      <c r="H18" s="71"/>
      <c r="I18" s="71"/>
      <c r="J18" s="71"/>
    </row>
    <row r="19" spans="1:10" ht="20" customHeight="1" x14ac:dyDescent="0.2">
      <c r="A19" s="2" t="s">
        <v>64</v>
      </c>
      <c r="B19" s="71" t="s">
        <v>77</v>
      </c>
      <c r="C19" s="71"/>
      <c r="D19" s="71"/>
      <c r="E19" s="71"/>
      <c r="F19" s="71"/>
      <c r="G19" s="71"/>
      <c r="H19" s="71"/>
      <c r="I19" s="71"/>
      <c r="J19" s="71"/>
    </row>
    <row r="20" spans="1:10" ht="20" customHeight="1" x14ac:dyDescent="0.2">
      <c r="A20" s="2" t="s">
        <v>62</v>
      </c>
      <c r="B20" s="71" t="s">
        <v>178</v>
      </c>
      <c r="C20" s="71"/>
      <c r="D20" s="71"/>
      <c r="E20" s="71"/>
      <c r="F20" s="71"/>
      <c r="G20" s="71"/>
      <c r="H20" s="71"/>
      <c r="I20" s="71"/>
      <c r="J20" s="71"/>
    </row>
    <row r="21" spans="1:10" ht="20" customHeight="1" x14ac:dyDescent="0.2">
      <c r="A21" s="2" t="s">
        <v>63</v>
      </c>
      <c r="B21" s="71" t="s">
        <v>179</v>
      </c>
      <c r="C21" s="71"/>
      <c r="D21" s="71"/>
      <c r="E21" s="71"/>
      <c r="F21" s="71"/>
      <c r="G21" s="71"/>
      <c r="H21" s="71"/>
      <c r="I21" s="71"/>
      <c r="J21" s="71"/>
    </row>
    <row r="27" spans="1:10" x14ac:dyDescent="0.2">
      <c r="B27" s="14"/>
    </row>
  </sheetData>
  <mergeCells count="9">
    <mergeCell ref="B19:J19"/>
    <mergeCell ref="B20:J20"/>
    <mergeCell ref="B21:J21"/>
    <mergeCell ref="A2:J2"/>
    <mergeCell ref="A1:J1"/>
    <mergeCell ref="A3:J3"/>
    <mergeCell ref="A11:J11"/>
    <mergeCell ref="A17:J17"/>
    <mergeCell ref="B18:J18"/>
  </mergeCells>
  <conditionalFormatting sqref="B5:C9 E5:E9">
    <cfRule type="cellIs" dxfId="11" priority="3" operator="lessThan">
      <formula>0</formula>
    </cfRule>
    <cfRule type="cellIs" dxfId="10" priority="4" operator="lessThan">
      <formula>0</formula>
    </cfRule>
  </conditionalFormatting>
  <conditionalFormatting sqref="B13:D15">
    <cfRule type="cellIs" dxfId="9" priority="2" operator="lessThan">
      <formula>0</formula>
    </cfRule>
  </conditionalFormatting>
  <conditionalFormatting sqref="E5:E9">
    <cfRule type="cellIs" dxfId="8" priority="1" operator="greaterThan">
      <formula>0</formula>
    </cfRule>
  </conditionalFormatting>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4D77C-41E1-1B44-AD2C-03434BE30B2A}">
  <dimension ref="A1:I23"/>
  <sheetViews>
    <sheetView showGridLines="0" zoomScale="102" workbookViewId="0">
      <pane ySplit="3" topLeftCell="A4" activePane="bottomLeft" state="frozen"/>
      <selection pane="bottomLeft" activeCell="D17" sqref="D17"/>
    </sheetView>
  </sheetViews>
  <sheetFormatPr baseColWidth="10" defaultRowHeight="16" x14ac:dyDescent="0.2"/>
  <cols>
    <col min="1" max="1" width="34.83203125" customWidth="1"/>
    <col min="2" max="5" width="15.83203125" customWidth="1"/>
    <col min="6" max="6" width="30" customWidth="1"/>
  </cols>
  <sheetData>
    <row r="1" spans="1:9" ht="39" customHeight="1" x14ac:dyDescent="0.2">
      <c r="A1" s="72" t="s">
        <v>65</v>
      </c>
      <c r="B1" s="72"/>
      <c r="C1" s="72"/>
      <c r="D1" s="72"/>
      <c r="E1" s="72"/>
      <c r="F1" s="72"/>
      <c r="G1" s="72"/>
      <c r="H1" s="2"/>
      <c r="I1" s="2"/>
    </row>
    <row r="4" spans="1:9" ht="19" x14ac:dyDescent="0.25">
      <c r="A4" s="73" t="s">
        <v>66</v>
      </c>
      <c r="B4" s="73"/>
      <c r="C4" s="73"/>
      <c r="D4" s="73"/>
      <c r="E4" s="73"/>
      <c r="F4" s="73"/>
      <c r="G4" s="73"/>
      <c r="H4" s="2"/>
      <c r="I4" s="2"/>
    </row>
    <row r="5" spans="1:9" x14ac:dyDescent="0.2">
      <c r="A5" s="2" t="s">
        <v>41</v>
      </c>
      <c r="B5" s="2" t="s">
        <v>78</v>
      </c>
      <c r="C5" s="2" t="s">
        <v>79</v>
      </c>
      <c r="D5" s="2" t="s">
        <v>19</v>
      </c>
      <c r="E5" s="2" t="s">
        <v>69</v>
      </c>
      <c r="F5" s="2" t="s">
        <v>52</v>
      </c>
    </row>
    <row r="6" spans="1:9" x14ac:dyDescent="0.2">
      <c r="A6" t="s">
        <v>44</v>
      </c>
      <c r="B6" s="65">
        <v>1510</v>
      </c>
      <c r="C6" s="65">
        <v>1618</v>
      </c>
      <c r="D6" s="20">
        <f t="shared" ref="D6:D15" si="0">B6-C6</f>
        <v>-108</v>
      </c>
      <c r="E6" s="22">
        <f t="shared" ref="E6:E14" si="1">D6/C6</f>
        <v>-6.6749072929542644E-2</v>
      </c>
      <c r="F6" s="26">
        <f t="shared" ref="F6:F14" si="2">D6/$D$15</f>
        <v>-0.22978723404255319</v>
      </c>
    </row>
    <row r="7" spans="1:9" x14ac:dyDescent="0.2">
      <c r="A7" t="s">
        <v>49</v>
      </c>
      <c r="B7" s="65">
        <v>30</v>
      </c>
      <c r="C7" s="65">
        <v>37</v>
      </c>
      <c r="D7" s="20">
        <f t="shared" si="0"/>
        <v>-7</v>
      </c>
      <c r="E7" s="22">
        <f t="shared" si="1"/>
        <v>-0.1891891891891892</v>
      </c>
      <c r="F7" s="26">
        <f t="shared" si="2"/>
        <v>-1.4893617021276596E-2</v>
      </c>
    </row>
    <row r="8" spans="1:9" x14ac:dyDescent="0.2">
      <c r="A8" t="s">
        <v>35</v>
      </c>
      <c r="B8" s="65">
        <v>0</v>
      </c>
      <c r="C8" s="65">
        <v>3</v>
      </c>
      <c r="D8" s="20">
        <f t="shared" si="0"/>
        <v>-3</v>
      </c>
      <c r="E8" s="22">
        <f t="shared" si="1"/>
        <v>-1</v>
      </c>
      <c r="F8" s="26">
        <f t="shared" si="2"/>
        <v>-6.382978723404255E-3</v>
      </c>
    </row>
    <row r="9" spans="1:9" x14ac:dyDescent="0.2">
      <c r="A9" t="s">
        <v>103</v>
      </c>
      <c r="B9" s="65">
        <v>1360</v>
      </c>
      <c r="C9" s="65">
        <v>1347</v>
      </c>
      <c r="D9" s="20">
        <f t="shared" si="0"/>
        <v>13</v>
      </c>
      <c r="E9" s="22">
        <f t="shared" si="1"/>
        <v>9.6510764662212315E-3</v>
      </c>
      <c r="F9" s="26">
        <f t="shared" si="2"/>
        <v>2.7659574468085105E-2</v>
      </c>
    </row>
    <row r="10" spans="1:9" x14ac:dyDescent="0.2">
      <c r="A10" t="s">
        <v>45</v>
      </c>
      <c r="B10" s="65">
        <v>1486</v>
      </c>
      <c r="C10" s="65">
        <v>1452</v>
      </c>
      <c r="D10" s="20">
        <f t="shared" si="0"/>
        <v>34</v>
      </c>
      <c r="E10" s="22">
        <f t="shared" si="1"/>
        <v>2.3415977961432508E-2</v>
      </c>
      <c r="F10" s="26">
        <f t="shared" si="2"/>
        <v>7.2340425531914887E-2</v>
      </c>
    </row>
    <row r="11" spans="1:9" x14ac:dyDescent="0.2">
      <c r="A11" t="s">
        <v>42</v>
      </c>
      <c r="B11" s="65">
        <v>1696</v>
      </c>
      <c r="C11" s="65">
        <v>1637</v>
      </c>
      <c r="D11" s="20">
        <f t="shared" si="0"/>
        <v>59</v>
      </c>
      <c r="E11" s="22">
        <f t="shared" si="1"/>
        <v>3.6041539401343921E-2</v>
      </c>
      <c r="F11" s="26">
        <f t="shared" si="2"/>
        <v>0.12553191489361701</v>
      </c>
    </row>
    <row r="12" spans="1:9" x14ac:dyDescent="0.2">
      <c r="A12" t="s">
        <v>46</v>
      </c>
      <c r="B12" s="65">
        <v>1349</v>
      </c>
      <c r="C12" s="65">
        <v>1218</v>
      </c>
      <c r="D12" s="20">
        <f t="shared" si="0"/>
        <v>131</v>
      </c>
      <c r="E12" s="22">
        <f t="shared" si="1"/>
        <v>0.10755336617405582</v>
      </c>
      <c r="F12" s="26">
        <f t="shared" si="2"/>
        <v>0.27872340425531916</v>
      </c>
    </row>
    <row r="13" spans="1:9" x14ac:dyDescent="0.2">
      <c r="A13" t="s">
        <v>43</v>
      </c>
      <c r="B13" s="65">
        <v>2038</v>
      </c>
      <c r="C13" s="65">
        <v>1872</v>
      </c>
      <c r="D13" s="20">
        <f t="shared" si="0"/>
        <v>166</v>
      </c>
      <c r="E13" s="22">
        <f t="shared" si="1"/>
        <v>8.8675213675213679E-2</v>
      </c>
      <c r="F13" s="26">
        <f t="shared" si="2"/>
        <v>0.35319148936170214</v>
      </c>
    </row>
    <row r="14" spans="1:9" x14ac:dyDescent="0.2">
      <c r="A14" t="s">
        <v>47</v>
      </c>
      <c r="B14" s="65">
        <v>3924</v>
      </c>
      <c r="C14" s="65">
        <v>3739</v>
      </c>
      <c r="D14" s="20">
        <f t="shared" si="0"/>
        <v>185</v>
      </c>
      <c r="E14" s="22">
        <f t="shared" si="1"/>
        <v>4.9478470179192297E-2</v>
      </c>
      <c r="F14" s="26">
        <f t="shared" si="2"/>
        <v>0.39361702127659576</v>
      </c>
    </row>
    <row r="15" spans="1:9" x14ac:dyDescent="0.2">
      <c r="A15" s="34" t="s">
        <v>67</v>
      </c>
      <c r="B15" s="58">
        <f>SUM(B6:B14)</f>
        <v>13393</v>
      </c>
      <c r="C15" s="58">
        <f>SUM(C6:C14)</f>
        <v>12923</v>
      </c>
      <c r="D15" s="58">
        <f t="shared" si="0"/>
        <v>470</v>
      </c>
      <c r="E15" s="35"/>
      <c r="F15" s="35"/>
    </row>
    <row r="18" spans="1:9" ht="19" x14ac:dyDescent="0.25">
      <c r="A18" s="73" t="s">
        <v>68</v>
      </c>
      <c r="B18" s="73"/>
      <c r="C18" s="73"/>
      <c r="D18" s="73"/>
      <c r="E18" s="73"/>
      <c r="F18" s="73"/>
      <c r="G18" s="73"/>
      <c r="H18" s="2"/>
      <c r="I18" s="2"/>
    </row>
    <row r="19" spans="1:9" s="29" customFormat="1" ht="22" customHeight="1" x14ac:dyDescent="0.2">
      <c r="A19" s="81" t="s">
        <v>80</v>
      </c>
      <c r="B19" s="81"/>
      <c r="C19" s="81"/>
      <c r="D19" s="81"/>
      <c r="E19" s="81"/>
      <c r="F19" s="81"/>
      <c r="G19" s="81"/>
    </row>
    <row r="20" spans="1:9" s="29" customFormat="1" ht="22" customHeight="1" x14ac:dyDescent="0.2">
      <c r="A20" s="81" t="s">
        <v>81</v>
      </c>
      <c r="B20" s="81"/>
      <c r="C20" s="81"/>
      <c r="D20" s="81"/>
      <c r="E20" s="81"/>
      <c r="F20" s="81"/>
      <c r="G20" s="81"/>
    </row>
    <row r="21" spans="1:9" s="29" customFormat="1" ht="22" customHeight="1" x14ac:dyDescent="0.2">
      <c r="A21" s="80" t="s">
        <v>180</v>
      </c>
      <c r="B21" s="80"/>
      <c r="C21" s="80"/>
      <c r="D21" s="80"/>
      <c r="E21" s="80"/>
      <c r="F21" s="80"/>
      <c r="G21" s="80"/>
    </row>
    <row r="22" spans="1:9" s="29" customFormat="1" ht="22" customHeight="1" x14ac:dyDescent="0.2">
      <c r="A22" s="80" t="s">
        <v>82</v>
      </c>
      <c r="B22" s="80"/>
      <c r="C22" s="80"/>
      <c r="D22" s="80"/>
      <c r="E22" s="80"/>
      <c r="F22" s="80"/>
      <c r="G22" s="80"/>
    </row>
    <row r="23" spans="1:9" s="29" customFormat="1" ht="22" customHeight="1" x14ac:dyDescent="0.2">
      <c r="A23" s="80" t="s">
        <v>83</v>
      </c>
      <c r="B23" s="80"/>
      <c r="C23" s="80"/>
      <c r="D23" s="80"/>
      <c r="E23" s="80"/>
      <c r="F23" s="80"/>
      <c r="G23" s="80"/>
    </row>
  </sheetData>
  <mergeCells count="8">
    <mergeCell ref="A1:G1"/>
    <mergeCell ref="A4:G4"/>
    <mergeCell ref="A18:G18"/>
    <mergeCell ref="A22:G22"/>
    <mergeCell ref="A23:G23"/>
    <mergeCell ref="A20:G20"/>
    <mergeCell ref="A19:G19"/>
    <mergeCell ref="A21:G21"/>
  </mergeCells>
  <conditionalFormatting sqref="E6:F14">
    <cfRule type="cellIs" dxfId="7" priority="1" operator="lessThan">
      <formula>0</formula>
    </cfRule>
    <cfRule type="cellIs" dxfId="6" priority="2" operator="greaterThan">
      <formula>0</formula>
    </cfRule>
  </conditionalFormatting>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4DE50-0831-2549-80BC-84FDEC44C101}">
  <dimension ref="A1:K39"/>
  <sheetViews>
    <sheetView showGridLines="0" zoomScale="101" workbookViewId="0">
      <pane ySplit="3" topLeftCell="A4" activePane="bottomLeft" state="frozen"/>
      <selection pane="bottomLeft" activeCell="I13" sqref="I13"/>
    </sheetView>
  </sheetViews>
  <sheetFormatPr baseColWidth="10" defaultRowHeight="16" x14ac:dyDescent="0.2"/>
  <cols>
    <col min="1" max="1" width="64.33203125" customWidth="1"/>
    <col min="2" max="4" width="15.83203125" customWidth="1"/>
    <col min="5" max="5" width="15.83203125" style="7" customWidth="1"/>
  </cols>
  <sheetData>
    <row r="1" spans="1:11" ht="42" customHeight="1" x14ac:dyDescent="0.2">
      <c r="A1" s="72" t="s">
        <v>122</v>
      </c>
      <c r="B1" s="72"/>
      <c r="C1" s="72"/>
      <c r="D1" s="72"/>
      <c r="E1" s="72"/>
      <c r="F1" s="72"/>
    </row>
    <row r="2" spans="1:11" x14ac:dyDescent="0.2">
      <c r="G2" s="29"/>
    </row>
    <row r="3" spans="1:11" x14ac:dyDescent="0.2">
      <c r="G3" s="29"/>
    </row>
    <row r="4" spans="1:11" s="29" customFormat="1" ht="28" customHeight="1" x14ac:dyDescent="0.2">
      <c r="A4" s="83" t="s">
        <v>189</v>
      </c>
      <c r="B4" s="83"/>
      <c r="C4" s="83"/>
      <c r="D4" s="83"/>
      <c r="E4" s="83"/>
      <c r="F4" s="83"/>
    </row>
    <row r="5" spans="1:11" ht="17" x14ac:dyDescent="0.2">
      <c r="A5" s="9" t="s">
        <v>26</v>
      </c>
      <c r="B5" s="24" t="s">
        <v>185</v>
      </c>
      <c r="C5" s="24" t="s">
        <v>186</v>
      </c>
      <c r="D5" s="24" t="s">
        <v>19</v>
      </c>
      <c r="E5" s="25" t="s">
        <v>20</v>
      </c>
      <c r="F5" s="6"/>
    </row>
    <row r="6" spans="1:11" ht="17" x14ac:dyDescent="0.2">
      <c r="A6" s="28" t="s">
        <v>27</v>
      </c>
      <c r="B6" s="65">
        <v>-5322</v>
      </c>
      <c r="C6" s="65">
        <v>-4769</v>
      </c>
      <c r="D6" s="59">
        <f>B6-C6</f>
        <v>-553</v>
      </c>
      <c r="E6" s="26">
        <f>D6/C6</f>
        <v>0.11595722373663242</v>
      </c>
    </row>
    <row r="7" spans="1:11" ht="17" x14ac:dyDescent="0.2">
      <c r="A7" s="28" t="s">
        <v>28</v>
      </c>
      <c r="B7" s="65">
        <v>-3355</v>
      </c>
      <c r="C7" s="65">
        <v>-3399</v>
      </c>
      <c r="D7" s="59">
        <f t="shared" ref="D7:D25" si="0">B7-C7</f>
        <v>44</v>
      </c>
      <c r="E7" s="26">
        <f t="shared" ref="E7:E25" si="1">D7/C7</f>
        <v>-1.2944983818770227E-2</v>
      </c>
    </row>
    <row r="8" spans="1:11" ht="17" x14ac:dyDescent="0.2">
      <c r="A8" s="28" t="s">
        <v>29</v>
      </c>
      <c r="B8" s="65">
        <v>-1243</v>
      </c>
      <c r="C8" s="65">
        <v>-1207</v>
      </c>
      <c r="D8" s="59">
        <f t="shared" si="0"/>
        <v>-36</v>
      </c>
      <c r="E8" s="26">
        <f t="shared" si="1"/>
        <v>2.9826014913007456E-2</v>
      </c>
    </row>
    <row r="9" spans="1:11" ht="34" x14ac:dyDescent="0.2">
      <c r="A9" s="28" t="s">
        <v>30</v>
      </c>
      <c r="B9" s="65">
        <v>-379</v>
      </c>
      <c r="C9" s="65">
        <v>-381</v>
      </c>
      <c r="D9" s="59">
        <f t="shared" si="0"/>
        <v>2</v>
      </c>
      <c r="E9" s="26">
        <f t="shared" si="1"/>
        <v>-5.2493438320209973E-3</v>
      </c>
    </row>
    <row r="10" spans="1:11" ht="34" x14ac:dyDescent="0.2">
      <c r="A10" s="28" t="s">
        <v>31</v>
      </c>
      <c r="B10" s="65">
        <v>-12</v>
      </c>
      <c r="C10" s="65">
        <v>-31</v>
      </c>
      <c r="D10" s="59">
        <f t="shared" si="0"/>
        <v>19</v>
      </c>
      <c r="E10" s="26">
        <f t="shared" si="1"/>
        <v>-0.61290322580645162</v>
      </c>
    </row>
    <row r="11" spans="1:11" ht="17" x14ac:dyDescent="0.2">
      <c r="A11" s="28" t="s">
        <v>5</v>
      </c>
      <c r="B11" s="65">
        <v>-649</v>
      </c>
      <c r="C11" s="65">
        <v>-653</v>
      </c>
      <c r="D11" s="59">
        <f t="shared" si="0"/>
        <v>4</v>
      </c>
      <c r="E11" s="26">
        <f t="shared" si="1"/>
        <v>-6.1255742725880554E-3</v>
      </c>
    </row>
    <row r="12" spans="1:11" ht="17" x14ac:dyDescent="0.2">
      <c r="A12" s="28" t="s">
        <v>32</v>
      </c>
      <c r="B12" s="65">
        <v>-570</v>
      </c>
      <c r="C12" s="65">
        <v>-578</v>
      </c>
      <c r="D12" s="59">
        <f t="shared" si="0"/>
        <v>8</v>
      </c>
      <c r="E12" s="26">
        <f t="shared" si="1"/>
        <v>-1.384083044982699E-2</v>
      </c>
    </row>
    <row r="13" spans="1:11" ht="17" x14ac:dyDescent="0.2">
      <c r="A13" s="28" t="s">
        <v>33</v>
      </c>
      <c r="B13" s="65">
        <v>-268</v>
      </c>
      <c r="C13" s="65">
        <v>-287</v>
      </c>
      <c r="D13" s="59">
        <f t="shared" si="0"/>
        <v>19</v>
      </c>
      <c r="E13" s="26">
        <f t="shared" si="1"/>
        <v>-6.6202090592334492E-2</v>
      </c>
      <c r="K13" s="8"/>
    </row>
    <row r="14" spans="1:11" ht="17" x14ac:dyDescent="0.2">
      <c r="A14" s="28" t="s">
        <v>34</v>
      </c>
      <c r="B14" s="65">
        <v>-283</v>
      </c>
      <c r="C14" s="65">
        <v>-270</v>
      </c>
      <c r="D14" s="59">
        <f t="shared" si="0"/>
        <v>-13</v>
      </c>
      <c r="E14" s="26">
        <f t="shared" si="1"/>
        <v>4.8148148148148148E-2</v>
      </c>
    </row>
    <row r="15" spans="1:11" ht="17" x14ac:dyDescent="0.2">
      <c r="A15" s="28" t="s">
        <v>35</v>
      </c>
      <c r="B15" s="65">
        <v>-749</v>
      </c>
      <c r="C15" s="65">
        <v>-803</v>
      </c>
      <c r="D15" s="59">
        <f t="shared" si="0"/>
        <v>54</v>
      </c>
      <c r="E15" s="26">
        <f t="shared" si="1"/>
        <v>-6.7247820672478212E-2</v>
      </c>
    </row>
    <row r="16" spans="1:11" s="2" customFormat="1" ht="34" x14ac:dyDescent="0.2">
      <c r="A16" s="10" t="s">
        <v>36</v>
      </c>
      <c r="B16" s="60">
        <f>SUM(B6:B15)</f>
        <v>-12830</v>
      </c>
      <c r="C16" s="60">
        <f>SUM(C6:C15)</f>
        <v>-12378</v>
      </c>
      <c r="D16" s="60">
        <f t="shared" si="0"/>
        <v>-452</v>
      </c>
      <c r="E16" s="27">
        <f t="shared" si="1"/>
        <v>3.6516400064630798E-2</v>
      </c>
    </row>
    <row r="17" spans="1:6" s="2" customFormat="1" x14ac:dyDescent="0.2">
      <c r="A17" s="10"/>
      <c r="B17" s="3"/>
      <c r="C17" s="3"/>
      <c r="D17" s="3"/>
      <c r="E17" s="12"/>
    </row>
    <row r="18" spans="1:6" s="2" customFormat="1" x14ac:dyDescent="0.2">
      <c r="A18" s="10"/>
      <c r="B18" s="3"/>
      <c r="C18" s="3"/>
      <c r="D18" s="1"/>
      <c r="E18" s="7"/>
    </row>
    <row r="19" spans="1:6" s="29" customFormat="1" ht="28" customHeight="1" x14ac:dyDescent="0.2">
      <c r="A19" s="30" t="s">
        <v>6</v>
      </c>
      <c r="B19" s="61"/>
      <c r="C19" s="61"/>
      <c r="D19" s="61"/>
      <c r="E19" s="32"/>
      <c r="F19" s="31"/>
    </row>
    <row r="20" spans="1:6" ht="17" x14ac:dyDescent="0.2">
      <c r="A20" s="10" t="s">
        <v>70</v>
      </c>
      <c r="B20" s="62" t="s">
        <v>185</v>
      </c>
      <c r="C20" s="62" t="s">
        <v>186</v>
      </c>
      <c r="D20" s="62" t="s">
        <v>187</v>
      </c>
      <c r="E20" s="25" t="s">
        <v>188</v>
      </c>
    </row>
    <row r="21" spans="1:6" ht="17" x14ac:dyDescent="0.2">
      <c r="A21" s="13" t="s">
        <v>37</v>
      </c>
      <c r="B21" s="65">
        <v>-9</v>
      </c>
      <c r="C21" s="65">
        <v>25</v>
      </c>
      <c r="D21" s="20">
        <f t="shared" si="0"/>
        <v>-34</v>
      </c>
      <c r="E21" s="26">
        <f t="shared" si="1"/>
        <v>-1.36</v>
      </c>
    </row>
    <row r="22" spans="1:6" ht="17" x14ac:dyDescent="0.2">
      <c r="A22" s="13" t="s">
        <v>38</v>
      </c>
      <c r="B22" s="65">
        <v>10</v>
      </c>
      <c r="C22" s="65">
        <v>-47</v>
      </c>
      <c r="D22" s="20">
        <f t="shared" si="0"/>
        <v>57</v>
      </c>
      <c r="E22" s="26">
        <f t="shared" si="1"/>
        <v>-1.2127659574468086</v>
      </c>
    </row>
    <row r="23" spans="1:6" ht="17" x14ac:dyDescent="0.2">
      <c r="A23" s="13" t="s">
        <v>39</v>
      </c>
      <c r="B23" s="65">
        <v>-48</v>
      </c>
      <c r="C23" s="65">
        <v>-6</v>
      </c>
      <c r="D23" s="20">
        <f t="shared" si="0"/>
        <v>-42</v>
      </c>
      <c r="E23" s="26">
        <f t="shared" si="1"/>
        <v>7</v>
      </c>
    </row>
    <row r="24" spans="1:6" ht="17" x14ac:dyDescent="0.2">
      <c r="A24" s="13" t="s">
        <v>6</v>
      </c>
      <c r="B24" s="65">
        <v>-32</v>
      </c>
      <c r="C24" s="65">
        <v>-12</v>
      </c>
      <c r="D24" s="20">
        <f t="shared" si="0"/>
        <v>-20</v>
      </c>
      <c r="E24" s="26">
        <f t="shared" si="1"/>
        <v>1.6666666666666667</v>
      </c>
    </row>
    <row r="25" spans="1:6" s="2" customFormat="1" ht="17" x14ac:dyDescent="0.2">
      <c r="A25" s="11" t="s">
        <v>40</v>
      </c>
      <c r="B25" s="60">
        <f>SUM(B21:B24)</f>
        <v>-79</v>
      </c>
      <c r="C25" s="60">
        <f>SUM(C21:C24)</f>
        <v>-40</v>
      </c>
      <c r="D25" s="20">
        <f t="shared" si="0"/>
        <v>-39</v>
      </c>
      <c r="E25" s="26">
        <f t="shared" si="1"/>
        <v>0.97499999999999998</v>
      </c>
    </row>
    <row r="26" spans="1:6" x14ac:dyDescent="0.2">
      <c r="B26" s="1"/>
      <c r="C26" s="1"/>
      <c r="D26" s="1"/>
    </row>
    <row r="27" spans="1:6" x14ac:dyDescent="0.2">
      <c r="B27" s="1"/>
      <c r="C27" s="1"/>
      <c r="D27" s="1"/>
    </row>
    <row r="28" spans="1:6" s="29" customFormat="1" ht="28" customHeight="1" x14ac:dyDescent="0.2">
      <c r="A28" s="31" t="s">
        <v>71</v>
      </c>
      <c r="B28" s="61"/>
      <c r="C28" s="61"/>
      <c r="D28" s="61"/>
      <c r="E28" s="32"/>
      <c r="F28" s="31"/>
    </row>
    <row r="29" spans="1:6" x14ac:dyDescent="0.2">
      <c r="A29" s="2" t="s">
        <v>84</v>
      </c>
      <c r="B29" s="63" t="s">
        <v>78</v>
      </c>
      <c r="C29" s="63" t="s">
        <v>79</v>
      </c>
      <c r="D29" s="63" t="s">
        <v>19</v>
      </c>
      <c r="E29" s="25" t="s">
        <v>20</v>
      </c>
    </row>
    <row r="30" spans="1:6" x14ac:dyDescent="0.2">
      <c r="A30" t="s">
        <v>184</v>
      </c>
      <c r="B30" s="65">
        <v>5323</v>
      </c>
      <c r="C30" s="65">
        <v>4769</v>
      </c>
      <c r="D30" s="20">
        <f>B30-C30</f>
        <v>554</v>
      </c>
      <c r="E30" s="26">
        <f>D30/C30</f>
        <v>0.11616691130215978</v>
      </c>
    </row>
    <row r="31" spans="1:6" x14ac:dyDescent="0.2">
      <c r="A31" t="s">
        <v>183</v>
      </c>
      <c r="B31" s="65">
        <v>9268</v>
      </c>
      <c r="C31" s="65">
        <v>9050</v>
      </c>
      <c r="D31" s="20">
        <f>B31-C31</f>
        <v>218</v>
      </c>
      <c r="E31" s="26">
        <f>D31/C31</f>
        <v>2.4088397790055248E-2</v>
      </c>
    </row>
    <row r="32" spans="1:6" x14ac:dyDescent="0.2">
      <c r="A32" t="s">
        <v>85</v>
      </c>
      <c r="B32" s="65">
        <v>56.93</v>
      </c>
      <c r="C32" s="65">
        <v>52.95</v>
      </c>
      <c r="D32" s="20">
        <f>B32-C32</f>
        <v>3.9799999999999969</v>
      </c>
      <c r="E32" s="26">
        <f>D32/C32</f>
        <v>7.5165250236071707E-2</v>
      </c>
    </row>
    <row r="35" spans="1:6" s="29" customFormat="1" ht="28" customHeight="1" x14ac:dyDescent="0.2">
      <c r="A35" s="31" t="s">
        <v>68</v>
      </c>
      <c r="B35" s="31"/>
      <c r="C35" s="31"/>
      <c r="D35" s="31"/>
      <c r="E35" s="32"/>
      <c r="F35" s="31"/>
    </row>
    <row r="36" spans="1:6" x14ac:dyDescent="0.2">
      <c r="A36" s="76" t="s">
        <v>86</v>
      </c>
      <c r="B36" s="76"/>
      <c r="C36" s="76"/>
      <c r="D36" s="76"/>
      <c r="E36" s="76"/>
      <c r="F36" s="76"/>
    </row>
    <row r="37" spans="1:6" ht="34" customHeight="1" x14ac:dyDescent="0.2">
      <c r="A37" s="76" t="s">
        <v>182</v>
      </c>
      <c r="B37" s="76"/>
      <c r="C37" s="76"/>
      <c r="D37" s="76"/>
      <c r="E37" s="76"/>
      <c r="F37" s="76"/>
    </row>
    <row r="38" spans="1:6" ht="50" customHeight="1" x14ac:dyDescent="0.2">
      <c r="A38" s="76" t="s">
        <v>87</v>
      </c>
      <c r="B38" s="76"/>
      <c r="C38" s="76"/>
      <c r="D38" s="76"/>
      <c r="E38" s="76"/>
      <c r="F38" s="76"/>
    </row>
    <row r="39" spans="1:6" x14ac:dyDescent="0.2">
      <c r="A39" s="82" t="s">
        <v>181</v>
      </c>
      <c r="B39" s="82"/>
      <c r="C39" s="82"/>
      <c r="D39" s="82"/>
      <c r="E39" s="82"/>
      <c r="F39" s="82"/>
    </row>
  </sheetData>
  <mergeCells count="6">
    <mergeCell ref="A39:F39"/>
    <mergeCell ref="A1:F1"/>
    <mergeCell ref="A4:F4"/>
    <mergeCell ref="A36:F36"/>
    <mergeCell ref="A37:F37"/>
    <mergeCell ref="A38:F38"/>
  </mergeCells>
  <conditionalFormatting sqref="E6:E16">
    <cfRule type="cellIs" dxfId="5" priority="7" operator="lessThan">
      <formula>0</formula>
    </cfRule>
    <cfRule type="cellIs" dxfId="4" priority="8" operator="greaterThan">
      <formula>0</formula>
    </cfRule>
  </conditionalFormatting>
  <conditionalFormatting sqref="E21:E25">
    <cfRule type="cellIs" dxfId="3" priority="3" operator="lessThan">
      <formula>0</formula>
    </cfRule>
    <cfRule type="cellIs" dxfId="2" priority="4" operator="greaterThan">
      <formula>0</formula>
    </cfRule>
  </conditionalFormatting>
  <conditionalFormatting sqref="E30:E32">
    <cfRule type="cellIs" dxfId="1" priority="1" operator="lessThan">
      <formula>0</formula>
    </cfRule>
    <cfRule type="cellIs" dxfId="0" priority="2" operator="greaterThan">
      <formula>0</formula>
    </cfRule>
  </conditionalFormatting>
  <pageMargins left="0.7" right="0.7" top="0.75" bottom="0.75" header="0.3" footer="0.3"/>
  <tableParts count="3">
    <tablePart r:id="rId1"/>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059C1-BCD5-4C4E-AFEC-7F0FE1398A33}">
  <dimension ref="A1:F20"/>
  <sheetViews>
    <sheetView showGridLines="0" zoomScaleNormal="100" workbookViewId="0">
      <pane ySplit="3" topLeftCell="A4" activePane="bottomLeft" state="frozen"/>
      <selection pane="bottomLeft" activeCell="C10" sqref="C10"/>
    </sheetView>
  </sheetViews>
  <sheetFormatPr baseColWidth="10" defaultRowHeight="16" x14ac:dyDescent="0.2"/>
  <cols>
    <col min="1" max="1" width="36" customWidth="1"/>
    <col min="2" max="2" width="16.5" customWidth="1"/>
    <col min="3" max="3" width="41.6640625" customWidth="1"/>
  </cols>
  <sheetData>
    <row r="1" spans="1:6" ht="36" customHeight="1" x14ac:dyDescent="0.2">
      <c r="A1" s="72" t="s">
        <v>72</v>
      </c>
      <c r="B1" s="72"/>
      <c r="C1" s="72"/>
      <c r="D1" s="72"/>
      <c r="E1" s="72"/>
      <c r="F1" s="72"/>
    </row>
    <row r="4" spans="1:6" ht="19" x14ac:dyDescent="0.25">
      <c r="A4" s="73" t="s">
        <v>73</v>
      </c>
      <c r="B4" s="73"/>
      <c r="C4" s="73"/>
      <c r="D4" s="73"/>
      <c r="E4" s="33"/>
      <c r="F4" s="33"/>
    </row>
    <row r="5" spans="1:6" x14ac:dyDescent="0.2">
      <c r="A5" s="23" t="s">
        <v>74</v>
      </c>
      <c r="B5" s="23" t="s">
        <v>91</v>
      </c>
      <c r="C5" s="23" t="s">
        <v>75</v>
      </c>
    </row>
    <row r="6" spans="1:6" x14ac:dyDescent="0.2">
      <c r="A6" t="s">
        <v>88</v>
      </c>
      <c r="B6" s="66">
        <v>527</v>
      </c>
      <c r="C6" t="s">
        <v>96</v>
      </c>
    </row>
    <row r="7" spans="1:6" x14ac:dyDescent="0.2">
      <c r="A7" t="s">
        <v>61</v>
      </c>
      <c r="B7" s="66">
        <v>470</v>
      </c>
      <c r="C7" t="s">
        <v>97</v>
      </c>
    </row>
    <row r="8" spans="1:6" x14ac:dyDescent="0.2">
      <c r="A8" t="s">
        <v>48</v>
      </c>
      <c r="B8" s="66">
        <v>-507</v>
      </c>
      <c r="C8" t="s">
        <v>98</v>
      </c>
    </row>
    <row r="9" spans="1:6" x14ac:dyDescent="0.2">
      <c r="A9" t="s">
        <v>89</v>
      </c>
      <c r="B9" s="66">
        <v>4</v>
      </c>
      <c r="C9" t="s">
        <v>99</v>
      </c>
    </row>
    <row r="10" spans="1:6" x14ac:dyDescent="0.2">
      <c r="A10" t="s">
        <v>190</v>
      </c>
      <c r="B10" s="66">
        <v>51</v>
      </c>
      <c r="C10" t="s">
        <v>100</v>
      </c>
    </row>
    <row r="11" spans="1:6" x14ac:dyDescent="0.2">
      <c r="A11" t="s">
        <v>6</v>
      </c>
      <c r="B11" s="66">
        <v>-39</v>
      </c>
      <c r="C11" t="s">
        <v>101</v>
      </c>
    </row>
    <row r="12" spans="1:6" x14ac:dyDescent="0.2">
      <c r="A12" t="s">
        <v>7</v>
      </c>
      <c r="B12" s="66">
        <v>1</v>
      </c>
      <c r="C12" t="s">
        <v>51</v>
      </c>
    </row>
    <row r="13" spans="1:6" s="2" customFormat="1" x14ac:dyDescent="0.2">
      <c r="A13" s="2" t="s">
        <v>90</v>
      </c>
      <c r="B13" s="15">
        <f>SUM(B6:B12)</f>
        <v>507</v>
      </c>
      <c r="C13" s="6" t="s">
        <v>102</v>
      </c>
    </row>
    <row r="14" spans="1:6" s="2" customFormat="1" x14ac:dyDescent="0.2">
      <c r="B14" s="15"/>
    </row>
    <row r="16" spans="1:6" ht="19" x14ac:dyDescent="0.25">
      <c r="A16" s="73" t="s">
        <v>92</v>
      </c>
      <c r="B16" s="73"/>
      <c r="C16" s="73"/>
      <c r="D16" s="73"/>
      <c r="E16" s="33"/>
      <c r="F16" s="33"/>
    </row>
    <row r="17" spans="1:4" ht="20" customHeight="1" x14ac:dyDescent="0.2">
      <c r="A17" s="77" t="s">
        <v>93</v>
      </c>
      <c r="B17" s="77"/>
      <c r="C17" s="77"/>
      <c r="D17" s="77"/>
    </row>
    <row r="18" spans="1:4" ht="20" customHeight="1" x14ac:dyDescent="0.2">
      <c r="A18" s="77" t="s">
        <v>192</v>
      </c>
      <c r="B18" s="77"/>
      <c r="C18" s="77"/>
      <c r="D18" s="77"/>
    </row>
    <row r="19" spans="1:4" ht="20" customHeight="1" x14ac:dyDescent="0.2">
      <c r="A19" s="77" t="s">
        <v>94</v>
      </c>
      <c r="B19" s="77"/>
      <c r="C19" s="77"/>
      <c r="D19" s="77"/>
    </row>
    <row r="20" spans="1:4" ht="20" customHeight="1" x14ac:dyDescent="0.2">
      <c r="A20" s="77" t="s">
        <v>95</v>
      </c>
      <c r="B20" s="77"/>
      <c r="C20" s="77"/>
      <c r="D20" s="77"/>
    </row>
  </sheetData>
  <mergeCells count="7">
    <mergeCell ref="A20:D20"/>
    <mergeCell ref="A1:F1"/>
    <mergeCell ref="A4:D4"/>
    <mergeCell ref="A16:D16"/>
    <mergeCell ref="A17:D17"/>
    <mergeCell ref="A18:D18"/>
    <mergeCell ref="A19:D19"/>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E9632-B42B-2149-B96E-1F0449E07FA8}">
  <dimension ref="A1:I77"/>
  <sheetViews>
    <sheetView showGridLines="0" zoomScale="89" workbookViewId="0">
      <pane ySplit="4" topLeftCell="A5" activePane="bottomLeft" state="frozen"/>
      <selection pane="bottomLeft" activeCell="B23" sqref="B23"/>
    </sheetView>
  </sheetViews>
  <sheetFormatPr baseColWidth="10" defaultRowHeight="16" x14ac:dyDescent="0.2"/>
  <cols>
    <col min="1" max="1" width="47.1640625" customWidth="1"/>
    <col min="2" max="6" width="19" customWidth="1"/>
    <col min="7" max="7" width="21.83203125" customWidth="1"/>
  </cols>
  <sheetData>
    <row r="1" spans="1:9" ht="41" customHeight="1" x14ac:dyDescent="0.2">
      <c r="A1" s="86" t="s">
        <v>165</v>
      </c>
      <c r="B1" s="86"/>
      <c r="C1" s="86"/>
      <c r="D1" s="86"/>
      <c r="E1" s="86"/>
      <c r="F1" s="86"/>
      <c r="G1" s="86"/>
      <c r="H1" s="86"/>
      <c r="I1" s="86"/>
    </row>
    <row r="4" spans="1:9" x14ac:dyDescent="0.2">
      <c r="B4" s="2" t="s">
        <v>161</v>
      </c>
      <c r="C4" s="47">
        <v>1</v>
      </c>
    </row>
    <row r="5" spans="1:9" ht="25" customHeight="1" x14ac:dyDescent="0.2">
      <c r="A5" s="84" t="s">
        <v>156</v>
      </c>
      <c r="B5" s="84"/>
      <c r="C5" s="84"/>
      <c r="D5" s="84"/>
      <c r="E5" s="84"/>
      <c r="F5" s="84"/>
      <c r="G5" s="84"/>
      <c r="H5" s="84"/>
      <c r="I5" s="84"/>
    </row>
    <row r="6" spans="1:9" x14ac:dyDescent="0.2">
      <c r="A6" s="17" t="s">
        <v>159</v>
      </c>
      <c r="B6" s="19" t="s">
        <v>157</v>
      </c>
      <c r="C6" s="19" t="s">
        <v>162</v>
      </c>
      <c r="D6" s="19" t="s">
        <v>163</v>
      </c>
      <c r="E6" s="19" t="s">
        <v>164</v>
      </c>
      <c r="F6" s="19" t="s">
        <v>2</v>
      </c>
      <c r="G6" s="87" t="s">
        <v>167</v>
      </c>
      <c r="H6" s="87"/>
      <c r="I6" s="87"/>
    </row>
    <row r="7" spans="1:9" x14ac:dyDescent="0.2">
      <c r="A7" t="s">
        <v>0</v>
      </c>
      <c r="B7" s="67">
        <v>0.02</v>
      </c>
      <c r="C7" s="96">
        <f>_xlfn.XLOOKUP($A7,$A$58:$A$75,$F$58:$F$75)</f>
        <v>3.5092959008437244E-2</v>
      </c>
      <c r="D7" s="96">
        <f>_xlfn.XLOOKUP($A7,$A$58:$A$75,$F$58:$F$75)-$B7</f>
        <v>1.5092959008437244E-2</v>
      </c>
      <c r="E7" s="96">
        <f>(_xlfn.XLOOKUP($A7,$A$58:$A$75,$F$58:$F$75)+$B7)</f>
        <v>5.5092959008437248E-2</v>
      </c>
      <c r="F7" t="s">
        <v>20</v>
      </c>
      <c r="G7" s="77" t="s">
        <v>168</v>
      </c>
      <c r="H7" s="77"/>
      <c r="I7" s="77"/>
    </row>
    <row r="8" spans="1:9" x14ac:dyDescent="0.2">
      <c r="A8" t="s">
        <v>57</v>
      </c>
      <c r="B8" s="67">
        <v>5.0000000000000001E-3</v>
      </c>
      <c r="C8" s="96">
        <f>$D$60/$D$58</f>
        <v>0.14419678280314507</v>
      </c>
      <c r="D8" s="96">
        <f>C8-B8</f>
        <v>0.13919678280314507</v>
      </c>
      <c r="E8" s="96">
        <f>C8+B8</f>
        <v>0.14919678280314508</v>
      </c>
      <c r="F8" t="s">
        <v>20</v>
      </c>
      <c r="G8" t="s">
        <v>169</v>
      </c>
    </row>
    <row r="9" spans="1:9" x14ac:dyDescent="0.2">
      <c r="A9" t="s">
        <v>1</v>
      </c>
      <c r="B9" s="67">
        <v>5.0000000000000001E-3</v>
      </c>
      <c r="C9" s="96">
        <f>1-C8</f>
        <v>0.85580321719685493</v>
      </c>
      <c r="D9" s="96">
        <f>C9+B9</f>
        <v>0.86080321719685493</v>
      </c>
      <c r="E9" s="96">
        <f>C9-B9</f>
        <v>0.85080321719685492</v>
      </c>
      <c r="F9" t="s">
        <v>160</v>
      </c>
      <c r="G9" s="77" t="s">
        <v>169</v>
      </c>
      <c r="H9" s="77"/>
      <c r="I9" s="77"/>
    </row>
    <row r="10" spans="1:9" x14ac:dyDescent="0.2">
      <c r="A10" t="s">
        <v>5</v>
      </c>
      <c r="B10" s="67">
        <v>-3.0000000000000001E-3</v>
      </c>
      <c r="C10" s="96">
        <f>_xlfn.XLOOKUP($A10,$A$58:$A$75,$F$58:$F$75)</f>
        <v>-6.1633281972266777E-3</v>
      </c>
      <c r="D10" s="96">
        <f>_xlfn.XLOOKUP($A10,$A$58:$A$75,$F$58:$F$75)-$B10</f>
        <v>-3.1633281972266777E-3</v>
      </c>
      <c r="E10" s="96">
        <f>(_xlfn.XLOOKUP($A10,$A$58:$A$75,$F$58:$F$75)+$B10)</f>
        <v>-9.1633281972266778E-3</v>
      </c>
      <c r="F10" t="s">
        <v>20</v>
      </c>
      <c r="G10" s="77" t="s">
        <v>170</v>
      </c>
      <c r="H10" s="77"/>
      <c r="I10" s="77"/>
    </row>
    <row r="11" spans="1:9" x14ac:dyDescent="0.2">
      <c r="A11" t="s">
        <v>50</v>
      </c>
      <c r="B11" s="67">
        <v>-0.03</v>
      </c>
      <c r="C11" s="96">
        <f>_xlfn.XLOOKUP($A11,$A$58:$A$75,$F$58:$F$75)</f>
        <v>-6.1893203883495146E-2</v>
      </c>
      <c r="D11" s="96">
        <f>_xlfn.XLOOKUP($A11,$A$58:$A$75,$F$58:$F$75)-$B11</f>
        <v>-3.1893203883495147E-2</v>
      </c>
      <c r="E11" s="96">
        <f>(_xlfn.XLOOKUP($A11,$A$58:$A$75,$F$58:$F$75)+$B11)</f>
        <v>-9.1893203883495145E-2</v>
      </c>
      <c r="F11" t="s">
        <v>20</v>
      </c>
      <c r="G11" s="77" t="s">
        <v>170</v>
      </c>
      <c r="H11" s="77"/>
      <c r="I11" s="77"/>
    </row>
    <row r="12" spans="1:9" x14ac:dyDescent="0.2">
      <c r="A12" t="s">
        <v>6</v>
      </c>
      <c r="B12" s="67">
        <v>-0.05</v>
      </c>
      <c r="C12" s="67">
        <v>0</v>
      </c>
      <c r="D12" s="67">
        <f>C12-B12</f>
        <v>0.05</v>
      </c>
      <c r="E12" s="67">
        <f>C12+B12</f>
        <v>-0.05</v>
      </c>
      <c r="F12" t="s">
        <v>20</v>
      </c>
      <c r="G12" s="77" t="s">
        <v>171</v>
      </c>
      <c r="H12" s="77"/>
      <c r="I12" s="77"/>
    </row>
    <row r="13" spans="1:9" x14ac:dyDescent="0.2">
      <c r="A13" t="s">
        <v>7</v>
      </c>
      <c r="B13" s="67">
        <v>0.02</v>
      </c>
      <c r="C13" s="96">
        <f>_xlfn.XLOOKUP($A13,$A$58:$A$75,$F$58:$F$75)</f>
        <v>4.3478260869565216E-2</v>
      </c>
      <c r="D13" s="96">
        <f>_xlfn.XLOOKUP($A13,$A$58:$A$75,$F$58:$F$75)-$B13</f>
        <v>2.3478260869565216E-2</v>
      </c>
      <c r="E13" s="96">
        <f>(_xlfn.XLOOKUP($A13,$A$58:$A$75,$F$58:$F$75)+$B13)</f>
        <v>6.347826086956522E-2</v>
      </c>
      <c r="F13" t="s">
        <v>20</v>
      </c>
      <c r="G13" s="77" t="s">
        <v>170</v>
      </c>
      <c r="H13" s="77"/>
      <c r="I13" s="77"/>
    </row>
    <row r="14" spans="1:9" x14ac:dyDescent="0.2">
      <c r="A14" t="s">
        <v>10</v>
      </c>
      <c r="B14" s="67" t="s">
        <v>175</v>
      </c>
      <c r="C14" s="68">
        <v>-8</v>
      </c>
      <c r="D14" s="69">
        <v>-15</v>
      </c>
      <c r="E14" s="69">
        <v>0</v>
      </c>
      <c r="F14" t="s">
        <v>174</v>
      </c>
      <c r="G14" s="77" t="s">
        <v>173</v>
      </c>
      <c r="H14" s="77"/>
      <c r="I14" s="77"/>
    </row>
    <row r="15" spans="1:9" x14ac:dyDescent="0.2">
      <c r="A15" t="s">
        <v>11</v>
      </c>
      <c r="B15" s="67">
        <v>-0.1</v>
      </c>
      <c r="C15" s="96">
        <f>_xlfn.XLOOKUP($A15,$A$58:$A$75,$F$58:$F$75)</f>
        <v>-0.35064935064935066</v>
      </c>
      <c r="D15" s="96">
        <f>_xlfn.XLOOKUP($A15,$A$58:$A$75,$F$58:$F$75)-$B15</f>
        <v>-0.25064935064935068</v>
      </c>
      <c r="E15" s="96">
        <f>(_xlfn.XLOOKUP($A15,$A$58:$A$75,$F$58:$F$75)+$B15)</f>
        <v>-0.45064935064935063</v>
      </c>
      <c r="F15" t="s">
        <v>20</v>
      </c>
      <c r="G15" s="77" t="s">
        <v>170</v>
      </c>
      <c r="H15" s="77"/>
      <c r="I15" s="77"/>
    </row>
    <row r="16" spans="1:9" x14ac:dyDescent="0.2">
      <c r="A16" t="s">
        <v>12</v>
      </c>
      <c r="B16" s="67">
        <v>0.05</v>
      </c>
      <c r="C16" s="96">
        <f>_xlfn.XLOOKUP($A16,$A$58:$A$75,$F$58:$F$75)</f>
        <v>0.2</v>
      </c>
      <c r="D16" s="96">
        <f>_xlfn.XLOOKUP($A16,$A$58:$A$75,$F$58:$F$75)-$B16</f>
        <v>0.15000000000000002</v>
      </c>
      <c r="E16" s="96">
        <f>(_xlfn.XLOOKUP($A16,$A$58:$A$75,$F$58:$F$75)+$B16)</f>
        <v>0.25</v>
      </c>
      <c r="F16" t="s">
        <v>20</v>
      </c>
      <c r="G16" s="77" t="s">
        <v>170</v>
      </c>
      <c r="H16" s="77"/>
      <c r="I16" s="77"/>
    </row>
    <row r="17" spans="1:9" x14ac:dyDescent="0.2">
      <c r="A17" t="s">
        <v>158</v>
      </c>
      <c r="B17" s="67">
        <v>0.02</v>
      </c>
      <c r="C17" s="96">
        <f>D74</f>
        <v>0.270152505446623</v>
      </c>
      <c r="D17" s="96">
        <f>C17+B17</f>
        <v>0.29015250544662302</v>
      </c>
      <c r="E17" s="96">
        <f>C17-B17</f>
        <v>0.25015250544662299</v>
      </c>
      <c r="F17" t="s">
        <v>20</v>
      </c>
      <c r="G17" s="77" t="s">
        <v>172</v>
      </c>
      <c r="H17" s="77"/>
      <c r="I17" s="77"/>
    </row>
    <row r="18" spans="1:9" x14ac:dyDescent="0.2">
      <c r="B18" s="45"/>
      <c r="C18" s="42"/>
      <c r="D18" s="42"/>
      <c r="E18" s="42"/>
    </row>
    <row r="19" spans="1:9" x14ac:dyDescent="0.2">
      <c r="B19" s="45"/>
      <c r="C19" s="42"/>
      <c r="D19" s="42"/>
      <c r="E19" s="42"/>
    </row>
    <row r="20" spans="1:9" x14ac:dyDescent="0.2">
      <c r="A20" s="2"/>
    </row>
    <row r="21" spans="1:9" x14ac:dyDescent="0.2">
      <c r="A21" s="4" t="s">
        <v>161</v>
      </c>
      <c r="B21" s="48"/>
    </row>
    <row r="22" spans="1:9" x14ac:dyDescent="0.2">
      <c r="A22" t="s">
        <v>0</v>
      </c>
      <c r="B22" s="42">
        <f>CHOOSE($C$4,C7,D7,E7)</f>
        <v>3.5092959008437244E-2</v>
      </c>
    </row>
    <row r="23" spans="1:9" x14ac:dyDescent="0.2">
      <c r="A23" t="s">
        <v>1</v>
      </c>
      <c r="B23" s="42">
        <f t="shared" ref="B23:B31" si="0">CHOOSE($C$4,C9,D9,E9)</f>
        <v>0.85580321719685493</v>
      </c>
    </row>
    <row r="24" spans="1:9" x14ac:dyDescent="0.2">
      <c r="A24" t="s">
        <v>5</v>
      </c>
      <c r="B24" s="42">
        <f t="shared" si="0"/>
        <v>-6.1633281972266777E-3</v>
      </c>
    </row>
    <row r="25" spans="1:9" x14ac:dyDescent="0.2">
      <c r="A25" t="s">
        <v>50</v>
      </c>
      <c r="B25" s="42">
        <f t="shared" si="0"/>
        <v>-6.1893203883495146E-2</v>
      </c>
    </row>
    <row r="26" spans="1:9" x14ac:dyDescent="0.2">
      <c r="A26" t="s">
        <v>6</v>
      </c>
      <c r="B26" s="42">
        <f t="shared" si="0"/>
        <v>0</v>
      </c>
    </row>
    <row r="27" spans="1:9" x14ac:dyDescent="0.2">
      <c r="A27" t="s">
        <v>7</v>
      </c>
      <c r="B27" s="42">
        <f t="shared" si="0"/>
        <v>4.3478260869565216E-2</v>
      </c>
    </row>
    <row r="28" spans="1:9" x14ac:dyDescent="0.2">
      <c r="A28" t="s">
        <v>10</v>
      </c>
      <c r="B28" s="46">
        <f t="shared" si="0"/>
        <v>-8</v>
      </c>
    </row>
    <row r="29" spans="1:9" x14ac:dyDescent="0.2">
      <c r="A29" t="s">
        <v>11</v>
      </c>
      <c r="B29" s="42">
        <f t="shared" si="0"/>
        <v>-0.35064935064935066</v>
      </c>
    </row>
    <row r="30" spans="1:9" x14ac:dyDescent="0.2">
      <c r="A30" t="s">
        <v>12</v>
      </c>
      <c r="B30" s="42">
        <f t="shared" si="0"/>
        <v>0.2</v>
      </c>
    </row>
    <row r="31" spans="1:9" x14ac:dyDescent="0.2">
      <c r="A31" t="s">
        <v>158</v>
      </c>
      <c r="B31" s="42">
        <f t="shared" si="0"/>
        <v>0.270152505446623</v>
      </c>
    </row>
    <row r="32" spans="1:9" x14ac:dyDescent="0.2">
      <c r="A32" s="2"/>
    </row>
    <row r="33" spans="1:7" x14ac:dyDescent="0.2">
      <c r="A33" s="2"/>
    </row>
    <row r="34" spans="1:7" ht="19" x14ac:dyDescent="0.2">
      <c r="A34" s="84" t="s">
        <v>166</v>
      </c>
      <c r="B34" s="84"/>
      <c r="C34" s="84"/>
      <c r="D34" s="84"/>
      <c r="E34" s="84"/>
      <c r="F34" s="84"/>
      <c r="G34" s="84"/>
    </row>
    <row r="35" spans="1:7" x14ac:dyDescent="0.2">
      <c r="A35" s="4" t="s">
        <v>16</v>
      </c>
      <c r="B35" s="43">
        <v>45657</v>
      </c>
      <c r="C35" s="43">
        <f>EDATE(B35,12)</f>
        <v>46022</v>
      </c>
      <c r="D35" s="44">
        <f>EDATE(C35,12)</f>
        <v>46387</v>
      </c>
    </row>
    <row r="36" spans="1:7" x14ac:dyDescent="0.2">
      <c r="A36" t="s">
        <v>0</v>
      </c>
      <c r="B36" s="70">
        <v>12923</v>
      </c>
      <c r="C36" s="70">
        <v>13393</v>
      </c>
      <c r="D36" s="1">
        <f>C36*(1+B22)</f>
        <v>13863</v>
      </c>
    </row>
    <row r="37" spans="1:7" x14ac:dyDescent="0.2">
      <c r="A37" t="s">
        <v>1</v>
      </c>
      <c r="B37" s="70">
        <v>-10850</v>
      </c>
      <c r="C37" s="70">
        <v>-11357</v>
      </c>
      <c r="D37" s="1">
        <f>-B23*D36</f>
        <v>-11864</v>
      </c>
    </row>
    <row r="38" spans="1:7" x14ac:dyDescent="0.2">
      <c r="A38" s="2" t="s">
        <v>4</v>
      </c>
      <c r="B38" s="3">
        <f t="shared" ref="B38" si="1">SUM(B36:B37)</f>
        <v>2073</v>
      </c>
      <c r="C38" s="3">
        <f>SUM(C36:C37)</f>
        <v>2036</v>
      </c>
      <c r="D38" s="3">
        <f>SUM(D36:D37)</f>
        <v>1999</v>
      </c>
    </row>
    <row r="39" spans="1:7" x14ac:dyDescent="0.2">
      <c r="B39" s="1"/>
      <c r="C39" s="1"/>
      <c r="D39" s="1"/>
    </row>
    <row r="40" spans="1:7" x14ac:dyDescent="0.2">
      <c r="A40" t="s">
        <v>5</v>
      </c>
      <c r="B40" s="70">
        <v>-653</v>
      </c>
      <c r="C40" s="70">
        <v>-649</v>
      </c>
      <c r="D40" s="1">
        <f>C40*(1+B24)</f>
        <v>-644.99999999999989</v>
      </c>
    </row>
    <row r="41" spans="1:7" x14ac:dyDescent="0.2">
      <c r="A41" t="s">
        <v>50</v>
      </c>
      <c r="B41" s="70">
        <v>-875</v>
      </c>
      <c r="C41" s="70">
        <v>-824</v>
      </c>
      <c r="D41" s="1">
        <f>C41*(1+B25)</f>
        <v>-773</v>
      </c>
    </row>
    <row r="42" spans="1:7" x14ac:dyDescent="0.2">
      <c r="A42" t="s">
        <v>6</v>
      </c>
      <c r="B42" s="70">
        <v>-40</v>
      </c>
      <c r="C42" s="70">
        <v>-79</v>
      </c>
      <c r="D42" s="1">
        <f>C42*(1+B26)</f>
        <v>-79</v>
      </c>
    </row>
    <row r="43" spans="1:7" x14ac:dyDescent="0.2">
      <c r="A43" t="s">
        <v>7</v>
      </c>
      <c r="B43" s="1">
        <v>22</v>
      </c>
      <c r="C43" s="1">
        <v>23</v>
      </c>
      <c r="D43" s="1">
        <f>C43*(1+B27)</f>
        <v>24</v>
      </c>
    </row>
    <row r="44" spans="1:7" x14ac:dyDescent="0.2">
      <c r="A44" s="2" t="s">
        <v>8</v>
      </c>
      <c r="B44" s="3">
        <f t="shared" ref="B44" si="2">SUM(B38:B43)</f>
        <v>527</v>
      </c>
      <c r="C44" s="3">
        <f>SUM(C38:C43)</f>
        <v>507</v>
      </c>
      <c r="D44" s="3">
        <f>SUM(D38:D43)</f>
        <v>526</v>
      </c>
    </row>
    <row r="45" spans="1:7" x14ac:dyDescent="0.2">
      <c r="B45" s="1"/>
      <c r="C45" s="1"/>
      <c r="D45" s="1"/>
    </row>
    <row r="46" spans="1:7" x14ac:dyDescent="0.2">
      <c r="A46" t="s">
        <v>10</v>
      </c>
      <c r="B46" s="70">
        <v>30</v>
      </c>
      <c r="C46" s="70">
        <v>11</v>
      </c>
      <c r="D46" s="1">
        <f>$B$28</f>
        <v>-8</v>
      </c>
    </row>
    <row r="47" spans="1:7" x14ac:dyDescent="0.2">
      <c r="A47" t="s">
        <v>11</v>
      </c>
      <c r="B47" s="70">
        <v>-104</v>
      </c>
      <c r="C47" s="70">
        <v>-77</v>
      </c>
      <c r="D47" s="1">
        <f>C47*(1+B29)</f>
        <v>-50</v>
      </c>
    </row>
    <row r="48" spans="1:7" x14ac:dyDescent="0.2">
      <c r="A48" t="s">
        <v>12</v>
      </c>
      <c r="B48" s="70">
        <v>20</v>
      </c>
      <c r="C48" s="70">
        <v>25</v>
      </c>
      <c r="D48" s="1">
        <f>C48*(1+B30)</f>
        <v>30</v>
      </c>
    </row>
    <row r="49" spans="1:7" x14ac:dyDescent="0.2">
      <c r="A49" s="2" t="s">
        <v>13</v>
      </c>
      <c r="B49" s="3">
        <f xml:space="preserve"> SUM(B44:B48)</f>
        <v>473</v>
      </c>
      <c r="C49" s="3">
        <f xml:space="preserve"> SUM(C44:C48)</f>
        <v>466</v>
      </c>
      <c r="D49" s="3">
        <f xml:space="preserve"> SUM(D44:D48)</f>
        <v>498</v>
      </c>
    </row>
    <row r="50" spans="1:7" x14ac:dyDescent="0.2">
      <c r="B50" s="1"/>
      <c r="C50" s="1"/>
      <c r="D50" s="1"/>
    </row>
    <row r="51" spans="1:7" x14ac:dyDescent="0.2">
      <c r="A51" t="s">
        <v>14</v>
      </c>
      <c r="B51" s="70">
        <v>-152</v>
      </c>
      <c r="C51" s="70">
        <v>-138</v>
      </c>
      <c r="D51" s="1">
        <f>IF(D49&gt;0,-D52*D49,0)</f>
        <v>-134.53594771241825</v>
      </c>
    </row>
    <row r="52" spans="1:7" x14ac:dyDescent="0.2">
      <c r="A52" t="s">
        <v>158</v>
      </c>
      <c r="B52" s="42">
        <f xml:space="preserve"> -B51/B49</f>
        <v>0.32135306553911203</v>
      </c>
      <c r="C52" s="42">
        <f xml:space="preserve"> -C51/C49</f>
        <v>0.29613733905579398</v>
      </c>
      <c r="D52" s="42">
        <f>B31</f>
        <v>0.270152505446623</v>
      </c>
    </row>
    <row r="53" spans="1:7" x14ac:dyDescent="0.2">
      <c r="A53" s="2" t="s">
        <v>15</v>
      </c>
      <c r="B53" s="3">
        <f xml:space="preserve"> B49+B51</f>
        <v>321</v>
      </c>
      <c r="C53" s="3">
        <f xml:space="preserve"> C49+C51</f>
        <v>328</v>
      </c>
      <c r="D53" s="3">
        <f xml:space="preserve"> D49+D51</f>
        <v>363.46405228758175</v>
      </c>
    </row>
    <row r="56" spans="1:7" x14ac:dyDescent="0.2">
      <c r="A56" s="85" t="s">
        <v>191</v>
      </c>
      <c r="B56" s="85"/>
      <c r="C56" s="85"/>
      <c r="D56" s="85"/>
      <c r="E56" s="85"/>
      <c r="F56" s="85"/>
      <c r="G56" s="85"/>
    </row>
    <row r="57" spans="1:7" x14ac:dyDescent="0.2">
      <c r="A57" s="51" t="s">
        <v>16</v>
      </c>
      <c r="B57" s="52">
        <v>45657</v>
      </c>
      <c r="C57" s="52">
        <f>EDATE(B57,12)</f>
        <v>46022</v>
      </c>
      <c r="D57" s="53">
        <f>EDATE(C57,12)</f>
        <v>46387</v>
      </c>
      <c r="E57" s="51" t="s">
        <v>19</v>
      </c>
      <c r="F57" s="51" t="s">
        <v>20</v>
      </c>
    </row>
    <row r="58" spans="1:7" x14ac:dyDescent="0.2">
      <c r="A58" s="50" t="s">
        <v>0</v>
      </c>
      <c r="B58" s="54">
        <v>12923</v>
      </c>
      <c r="C58" s="54">
        <v>13393</v>
      </c>
      <c r="D58" s="54">
        <f>_xlfn.FORECAST.LINEAR($D$57,B58:C58,$B$57:$C$57)</f>
        <v>13863</v>
      </c>
      <c r="E58" s="54">
        <f>D58-C58</f>
        <v>470</v>
      </c>
      <c r="F58" s="55">
        <f>E58/C58</f>
        <v>3.5092959008437244E-2</v>
      </c>
    </row>
    <row r="59" spans="1:7" x14ac:dyDescent="0.2">
      <c r="A59" s="50" t="s">
        <v>1</v>
      </c>
      <c r="B59" s="54">
        <v>-10850</v>
      </c>
      <c r="C59" s="54">
        <v>-11357</v>
      </c>
      <c r="D59" s="54">
        <f t="shared" ref="D59:D75" si="3">_xlfn.FORECAST.LINEAR($D$57,B59:C59,$B$57:$C$57)</f>
        <v>-11864</v>
      </c>
      <c r="E59" s="54">
        <f t="shared" ref="E59:E75" si="4">D59-C59</f>
        <v>-507</v>
      </c>
      <c r="F59" s="55">
        <f>E59/C59</f>
        <v>4.4642070969446154E-2</v>
      </c>
    </row>
    <row r="60" spans="1:7" x14ac:dyDescent="0.2">
      <c r="A60" s="49" t="s">
        <v>4</v>
      </c>
      <c r="B60" s="56">
        <f t="shared" ref="B60" si="5">SUM(B58:B59)</f>
        <v>2073</v>
      </c>
      <c r="C60" s="56">
        <f>SUM(C58:C59)</f>
        <v>2036</v>
      </c>
      <c r="D60" s="54">
        <f t="shared" si="3"/>
        <v>1999</v>
      </c>
      <c r="E60" s="54">
        <f t="shared" si="4"/>
        <v>-37</v>
      </c>
      <c r="F60" s="55">
        <f>E60/C60</f>
        <v>-1.8172888015717092E-2</v>
      </c>
    </row>
    <row r="61" spans="1:7" x14ac:dyDescent="0.2">
      <c r="A61" s="50"/>
      <c r="B61" s="54"/>
      <c r="C61" s="54"/>
      <c r="D61" s="54"/>
      <c r="E61" s="54"/>
      <c r="F61" s="55"/>
    </row>
    <row r="62" spans="1:7" x14ac:dyDescent="0.2">
      <c r="A62" s="50" t="s">
        <v>5</v>
      </c>
      <c r="B62" s="54">
        <v>-653</v>
      </c>
      <c r="C62" s="54">
        <v>-649</v>
      </c>
      <c r="D62" s="54">
        <f t="shared" si="3"/>
        <v>-644.99999999999989</v>
      </c>
      <c r="E62" s="54">
        <f t="shared" si="4"/>
        <v>4.0000000000001137</v>
      </c>
      <c r="F62" s="55">
        <f>E62/C62</f>
        <v>-6.1633281972266777E-3</v>
      </c>
    </row>
    <row r="63" spans="1:7" x14ac:dyDescent="0.2">
      <c r="A63" s="50" t="s">
        <v>50</v>
      </c>
      <c r="B63" s="54">
        <v>-875</v>
      </c>
      <c r="C63" s="54">
        <v>-824</v>
      </c>
      <c r="D63" s="54">
        <f t="shared" si="3"/>
        <v>-773</v>
      </c>
      <c r="E63" s="54">
        <f t="shared" si="4"/>
        <v>51</v>
      </c>
      <c r="F63" s="55">
        <f>E63/C63</f>
        <v>-6.1893203883495146E-2</v>
      </c>
    </row>
    <row r="64" spans="1:7" x14ac:dyDescent="0.2">
      <c r="A64" s="50" t="s">
        <v>6</v>
      </c>
      <c r="B64" s="54">
        <v>-40</v>
      </c>
      <c r="C64" s="54">
        <v>-79</v>
      </c>
      <c r="D64" s="54">
        <f t="shared" si="3"/>
        <v>-118</v>
      </c>
      <c r="E64" s="54">
        <f t="shared" si="4"/>
        <v>-39</v>
      </c>
      <c r="F64" s="55">
        <f>E64/C64</f>
        <v>0.49367088607594939</v>
      </c>
    </row>
    <row r="65" spans="1:6" x14ac:dyDescent="0.2">
      <c r="A65" s="50" t="s">
        <v>7</v>
      </c>
      <c r="B65" s="54">
        <v>22</v>
      </c>
      <c r="C65" s="54">
        <v>23</v>
      </c>
      <c r="D65" s="54">
        <f t="shared" si="3"/>
        <v>24</v>
      </c>
      <c r="E65" s="54">
        <f t="shared" si="4"/>
        <v>1</v>
      </c>
      <c r="F65" s="55">
        <f>E65/C65</f>
        <v>4.3478260869565216E-2</v>
      </c>
    </row>
    <row r="66" spans="1:6" x14ac:dyDescent="0.2">
      <c r="A66" s="49" t="s">
        <v>8</v>
      </c>
      <c r="B66" s="56">
        <f t="shared" ref="B66" si="6">SUM(B60:B65)</f>
        <v>527</v>
      </c>
      <c r="C66" s="56">
        <f>SUM(C60:C65)</f>
        <v>507</v>
      </c>
      <c r="D66" s="54">
        <f t="shared" si="3"/>
        <v>487</v>
      </c>
      <c r="E66" s="54">
        <f t="shared" si="4"/>
        <v>-20</v>
      </c>
      <c r="F66" s="55">
        <f>E66/C66</f>
        <v>-3.9447731755424063E-2</v>
      </c>
    </row>
    <row r="67" spans="1:6" x14ac:dyDescent="0.2">
      <c r="A67" s="50"/>
      <c r="B67" s="54"/>
      <c r="C67" s="54"/>
      <c r="D67" s="54"/>
      <c r="E67" s="54"/>
      <c r="F67" s="55"/>
    </row>
    <row r="68" spans="1:6" x14ac:dyDescent="0.2">
      <c r="A68" s="50" t="s">
        <v>10</v>
      </c>
      <c r="B68" s="54">
        <v>30</v>
      </c>
      <c r="C68" s="54">
        <v>11</v>
      </c>
      <c r="D68" s="54">
        <f t="shared" si="3"/>
        <v>-8</v>
      </c>
      <c r="E68" s="54">
        <f t="shared" si="4"/>
        <v>-19</v>
      </c>
      <c r="F68" s="55">
        <f>E68/C68</f>
        <v>-1.7272727272727273</v>
      </c>
    </row>
    <row r="69" spans="1:6" x14ac:dyDescent="0.2">
      <c r="A69" s="50" t="s">
        <v>11</v>
      </c>
      <c r="B69" s="54">
        <v>-104</v>
      </c>
      <c r="C69" s="54">
        <v>-77</v>
      </c>
      <c r="D69" s="54">
        <f t="shared" si="3"/>
        <v>-50</v>
      </c>
      <c r="E69" s="54">
        <f t="shared" si="4"/>
        <v>27</v>
      </c>
      <c r="F69" s="55">
        <f>E69/C69</f>
        <v>-0.35064935064935066</v>
      </c>
    </row>
    <row r="70" spans="1:6" x14ac:dyDescent="0.2">
      <c r="A70" s="50" t="s">
        <v>12</v>
      </c>
      <c r="B70" s="54">
        <v>20</v>
      </c>
      <c r="C70" s="54">
        <v>25</v>
      </c>
      <c r="D70" s="54">
        <f t="shared" si="3"/>
        <v>30</v>
      </c>
      <c r="E70" s="54">
        <f t="shared" si="4"/>
        <v>5</v>
      </c>
      <c r="F70" s="55">
        <f>E70/C70</f>
        <v>0.2</v>
      </c>
    </row>
    <row r="71" spans="1:6" x14ac:dyDescent="0.2">
      <c r="A71" s="49" t="s">
        <v>13</v>
      </c>
      <c r="B71" s="56">
        <f xml:space="preserve"> SUM(B66:B70)</f>
        <v>473</v>
      </c>
      <c r="C71" s="56">
        <f xml:space="preserve"> SUM(C66:C70)</f>
        <v>466</v>
      </c>
      <c r="D71" s="54">
        <f t="shared" si="3"/>
        <v>459.00000000000011</v>
      </c>
      <c r="E71" s="54">
        <f t="shared" si="4"/>
        <v>-6.9999999999998863</v>
      </c>
      <c r="F71" s="55">
        <f>E71/C71</f>
        <v>-1.5021459227467567E-2</v>
      </c>
    </row>
    <row r="72" spans="1:6" x14ac:dyDescent="0.2">
      <c r="A72" s="50"/>
      <c r="B72" s="54"/>
      <c r="C72" s="54"/>
      <c r="D72" s="54"/>
      <c r="E72" s="54"/>
      <c r="F72" s="55"/>
    </row>
    <row r="73" spans="1:6" x14ac:dyDescent="0.2">
      <c r="A73" s="50" t="s">
        <v>14</v>
      </c>
      <c r="B73" s="54">
        <v>-152</v>
      </c>
      <c r="C73" s="54">
        <v>-138</v>
      </c>
      <c r="D73" s="54">
        <f t="shared" si="3"/>
        <v>-124</v>
      </c>
      <c r="E73" s="54">
        <f t="shared" si="4"/>
        <v>14</v>
      </c>
      <c r="F73" s="55">
        <f>E73/C73</f>
        <v>-0.10144927536231885</v>
      </c>
    </row>
    <row r="74" spans="1:6" x14ac:dyDescent="0.2">
      <c r="A74" s="50" t="s">
        <v>158</v>
      </c>
      <c r="B74" s="55">
        <f xml:space="preserve"> -B73/B71</f>
        <v>0.32135306553911203</v>
      </c>
      <c r="C74" s="55">
        <f t="shared" ref="C74:D74" si="7" xml:space="preserve"> -C73/C71</f>
        <v>0.29613733905579398</v>
      </c>
      <c r="D74" s="55">
        <f t="shared" si="7"/>
        <v>0.270152505446623</v>
      </c>
      <c r="E74" s="54">
        <f t="shared" si="4"/>
        <v>-2.5984833609170976E-2</v>
      </c>
      <c r="F74" s="55"/>
    </row>
    <row r="75" spans="1:6" x14ac:dyDescent="0.2">
      <c r="A75" s="49" t="s">
        <v>15</v>
      </c>
      <c r="B75" s="56">
        <f xml:space="preserve"> B71+B73</f>
        <v>321</v>
      </c>
      <c r="C75" s="56">
        <f xml:space="preserve"> C71+C73</f>
        <v>328</v>
      </c>
      <c r="D75" s="54">
        <f t="shared" si="3"/>
        <v>335</v>
      </c>
      <c r="E75" s="54">
        <f t="shared" si="4"/>
        <v>7</v>
      </c>
      <c r="F75" s="55">
        <f>E75/C75</f>
        <v>2.1341463414634148E-2</v>
      </c>
    </row>
    <row r="76" spans="1:6" x14ac:dyDescent="0.2">
      <c r="E76" s="1"/>
      <c r="F76" s="42"/>
    </row>
    <row r="77" spans="1:6" x14ac:dyDescent="0.2">
      <c r="F77" s="42"/>
    </row>
  </sheetData>
  <mergeCells count="15">
    <mergeCell ref="A34:G34"/>
    <mergeCell ref="A56:G56"/>
    <mergeCell ref="A1:I1"/>
    <mergeCell ref="A5:I5"/>
    <mergeCell ref="G6:I6"/>
    <mergeCell ref="G7:I7"/>
    <mergeCell ref="G9:I9"/>
    <mergeCell ref="G10:I10"/>
    <mergeCell ref="G11:I11"/>
    <mergeCell ref="G12:I12"/>
    <mergeCell ref="G13:I13"/>
    <mergeCell ref="G14:I14"/>
    <mergeCell ref="G15:I15"/>
    <mergeCell ref="G16:I16"/>
    <mergeCell ref="G17:I17"/>
  </mergeCells>
  <dataValidations count="1">
    <dataValidation type="list" allowBlank="1" showInputMessage="1" showErrorMessage="1" sqref="C4" xr:uid="{3CB96C70-4B24-934C-A07D-6946237B3469}">
      <formula1>"1,2,3"</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46FC0-E451-7146-BBD9-5D7C73AEF74F}">
  <dimension ref="A1:I19"/>
  <sheetViews>
    <sheetView showGridLines="0" workbookViewId="0">
      <pane ySplit="2" topLeftCell="A3" activePane="bottomLeft" state="frozen"/>
      <selection pane="bottomLeft" activeCell="F13" sqref="F13"/>
    </sheetView>
  </sheetViews>
  <sheetFormatPr baseColWidth="10" defaultRowHeight="16" x14ac:dyDescent="0.2"/>
  <cols>
    <col min="1" max="1" width="32.83203125" customWidth="1"/>
    <col min="2" max="2" width="44.5" customWidth="1"/>
  </cols>
  <sheetData>
    <row r="1" spans="1:9" ht="33" customHeight="1" x14ac:dyDescent="0.2">
      <c r="A1" s="86" t="s">
        <v>131</v>
      </c>
      <c r="B1" s="86"/>
      <c r="C1" s="86"/>
      <c r="D1" s="86"/>
      <c r="E1" s="86"/>
      <c r="F1" s="86"/>
      <c r="G1" s="86"/>
      <c r="H1" s="86"/>
      <c r="I1" s="86"/>
    </row>
    <row r="2" spans="1:9" x14ac:dyDescent="0.2">
      <c r="A2" s="89" t="s">
        <v>133</v>
      </c>
      <c r="B2" s="89"/>
      <c r="C2" s="89"/>
      <c r="D2" s="89"/>
      <c r="E2" s="89"/>
      <c r="F2" s="89"/>
      <c r="G2" s="89"/>
      <c r="H2" s="89"/>
      <c r="I2" s="89"/>
    </row>
    <row r="3" spans="1:9" x14ac:dyDescent="0.2">
      <c r="A3" s="77"/>
      <c r="B3" s="77"/>
      <c r="C3" s="77"/>
      <c r="D3" s="77"/>
      <c r="E3" s="77"/>
      <c r="F3" s="77"/>
    </row>
    <row r="5" spans="1:9" ht="26" customHeight="1" x14ac:dyDescent="0.2">
      <c r="A5" s="84" t="s">
        <v>132</v>
      </c>
      <c r="B5" s="84"/>
      <c r="C5" s="84"/>
      <c r="D5" s="84"/>
      <c r="E5" s="84"/>
      <c r="F5" s="84"/>
      <c r="G5" s="84"/>
      <c r="H5" s="84"/>
      <c r="I5" s="84"/>
    </row>
    <row r="6" spans="1:9" ht="24" customHeight="1" x14ac:dyDescent="0.2">
      <c r="A6" s="40" t="s">
        <v>134</v>
      </c>
      <c r="B6" s="91" t="s">
        <v>135</v>
      </c>
      <c r="C6" s="91"/>
      <c r="D6" s="91"/>
      <c r="E6" s="91"/>
      <c r="F6" s="91"/>
      <c r="G6" s="91"/>
      <c r="H6" s="91"/>
      <c r="I6" s="91"/>
    </row>
    <row r="7" spans="1:9" ht="50" customHeight="1" x14ac:dyDescent="0.2">
      <c r="A7" s="29" t="s">
        <v>136</v>
      </c>
      <c r="B7" s="92" t="s">
        <v>137</v>
      </c>
      <c r="C7" s="92"/>
      <c r="D7" s="92"/>
      <c r="E7" s="92"/>
      <c r="F7" s="92"/>
      <c r="G7" s="92"/>
      <c r="H7" s="92"/>
      <c r="I7" s="92"/>
    </row>
    <row r="8" spans="1:9" ht="25" customHeight="1" x14ac:dyDescent="0.2">
      <c r="A8" s="29" t="s">
        <v>138</v>
      </c>
      <c r="B8" s="88" t="s">
        <v>139</v>
      </c>
      <c r="C8" s="88"/>
      <c r="D8" s="88"/>
      <c r="E8" s="88"/>
      <c r="F8" s="88"/>
      <c r="G8" s="88"/>
      <c r="H8" s="88"/>
      <c r="I8" s="88"/>
    </row>
    <row r="9" spans="1:9" ht="25" customHeight="1" x14ac:dyDescent="0.2">
      <c r="A9" s="29" t="s">
        <v>140</v>
      </c>
      <c r="B9" s="88" t="s">
        <v>141</v>
      </c>
      <c r="C9" s="88"/>
      <c r="D9" s="88"/>
      <c r="E9" s="88"/>
      <c r="F9" s="88"/>
      <c r="G9" s="88"/>
      <c r="H9" s="88"/>
      <c r="I9" s="88"/>
    </row>
    <row r="10" spans="1:9" ht="25" customHeight="1" x14ac:dyDescent="0.2">
      <c r="A10" s="29" t="s">
        <v>142</v>
      </c>
      <c r="B10" s="88" t="s">
        <v>143</v>
      </c>
      <c r="C10" s="88"/>
      <c r="D10" s="88"/>
      <c r="E10" s="88"/>
      <c r="F10" s="88"/>
      <c r="G10" s="88"/>
      <c r="H10" s="88"/>
      <c r="I10" s="88"/>
    </row>
    <row r="11" spans="1:9" ht="25" customHeight="1" x14ac:dyDescent="0.2">
      <c r="A11" s="29" t="s">
        <v>144</v>
      </c>
      <c r="B11" s="88" t="s">
        <v>145</v>
      </c>
      <c r="C11" s="88"/>
      <c r="D11" s="88"/>
      <c r="E11" s="88"/>
      <c r="F11" s="88"/>
      <c r="G11" s="88"/>
      <c r="H11" s="88"/>
      <c r="I11" s="88"/>
    </row>
    <row r="14" spans="1:9" ht="29" customHeight="1" x14ac:dyDescent="0.2">
      <c r="A14" s="84" t="s">
        <v>146</v>
      </c>
      <c r="B14" s="84"/>
      <c r="C14" s="84"/>
      <c r="D14" s="84"/>
      <c r="E14" s="84"/>
      <c r="F14" s="84"/>
      <c r="G14" s="84"/>
      <c r="H14" s="84"/>
      <c r="I14" s="84"/>
    </row>
    <row r="15" spans="1:9" ht="25" customHeight="1" x14ac:dyDescent="0.2">
      <c r="A15" s="41" t="s">
        <v>147</v>
      </c>
      <c r="B15" s="90" t="s">
        <v>148</v>
      </c>
      <c r="C15" s="90"/>
      <c r="D15" s="90"/>
      <c r="E15" s="90"/>
      <c r="F15" s="90"/>
      <c r="G15" s="90"/>
      <c r="H15" s="90"/>
      <c r="I15" s="90"/>
    </row>
    <row r="16" spans="1:9" s="29" customFormat="1" ht="25" customHeight="1" x14ac:dyDescent="0.2">
      <c r="A16" s="29" t="s">
        <v>0</v>
      </c>
      <c r="B16" s="88" t="s">
        <v>149</v>
      </c>
      <c r="C16" s="88"/>
      <c r="D16" s="88"/>
      <c r="E16" s="88"/>
      <c r="F16" s="88"/>
      <c r="G16" s="88"/>
      <c r="H16" s="88"/>
      <c r="I16" s="88"/>
    </row>
    <row r="17" spans="1:9" s="29" customFormat="1" ht="25" customHeight="1" x14ac:dyDescent="0.2">
      <c r="A17" s="29" t="s">
        <v>150</v>
      </c>
      <c r="B17" s="88" t="s">
        <v>151</v>
      </c>
      <c r="C17" s="88"/>
      <c r="D17" s="88"/>
      <c r="E17" s="88"/>
      <c r="F17" s="88"/>
      <c r="G17" s="88"/>
      <c r="H17" s="88"/>
      <c r="I17" s="88"/>
    </row>
    <row r="18" spans="1:9" s="29" customFormat="1" ht="25" customHeight="1" x14ac:dyDescent="0.2">
      <c r="A18" s="29" t="s">
        <v>152</v>
      </c>
      <c r="B18" s="88" t="s">
        <v>155</v>
      </c>
      <c r="C18" s="88"/>
      <c r="D18" s="88"/>
      <c r="E18" s="88"/>
      <c r="F18" s="88"/>
      <c r="G18" s="88"/>
      <c r="H18" s="88"/>
      <c r="I18" s="88"/>
    </row>
    <row r="19" spans="1:9" s="29" customFormat="1" ht="25" customHeight="1" x14ac:dyDescent="0.2">
      <c r="A19" s="29" t="s">
        <v>153</v>
      </c>
      <c r="B19" s="88" t="s">
        <v>154</v>
      </c>
      <c r="C19" s="88"/>
      <c r="D19" s="88"/>
      <c r="E19" s="88"/>
      <c r="F19" s="88"/>
      <c r="G19" s="88"/>
      <c r="H19" s="88"/>
      <c r="I19" s="88"/>
    </row>
  </sheetData>
  <mergeCells count="16">
    <mergeCell ref="B18:I18"/>
    <mergeCell ref="B19:I19"/>
    <mergeCell ref="A1:I1"/>
    <mergeCell ref="A2:I2"/>
    <mergeCell ref="A5:I5"/>
    <mergeCell ref="A14:I14"/>
    <mergeCell ref="B15:I15"/>
    <mergeCell ref="B16:I16"/>
    <mergeCell ref="B17:I17"/>
    <mergeCell ref="B9:I9"/>
    <mergeCell ref="B10:I10"/>
    <mergeCell ref="B11:I11"/>
    <mergeCell ref="A3:F3"/>
    <mergeCell ref="B6:I6"/>
    <mergeCell ref="B7:I7"/>
    <mergeCell ref="B8:I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C788D-64B7-F946-8993-20115D4A5F56}">
  <dimension ref="A1:G16"/>
  <sheetViews>
    <sheetView showGridLines="0" workbookViewId="0">
      <pane ySplit="1" topLeftCell="A2" activePane="bottomLeft" state="frozen"/>
      <selection pane="bottomLeft" activeCell="B19" sqref="B19"/>
    </sheetView>
  </sheetViews>
  <sheetFormatPr baseColWidth="10" defaultRowHeight="16" x14ac:dyDescent="0.2"/>
  <cols>
    <col min="1" max="1" width="34.33203125" customWidth="1"/>
    <col min="2" max="2" width="29.33203125" customWidth="1"/>
  </cols>
  <sheetData>
    <row r="1" spans="1:7" ht="36" customHeight="1" x14ac:dyDescent="0.2">
      <c r="A1" s="72" t="s">
        <v>104</v>
      </c>
      <c r="B1" s="72"/>
      <c r="C1" s="72"/>
      <c r="D1" s="72"/>
      <c r="E1" s="72"/>
      <c r="F1" s="72"/>
      <c r="G1" s="72"/>
    </row>
    <row r="2" spans="1:7" x14ac:dyDescent="0.2">
      <c r="B2" s="2"/>
    </row>
    <row r="4" spans="1:7" s="29" customFormat="1" ht="23" customHeight="1" x14ac:dyDescent="0.2">
      <c r="A4" s="31" t="s">
        <v>105</v>
      </c>
      <c r="B4" s="31"/>
      <c r="C4" s="31"/>
      <c r="D4" s="31"/>
      <c r="E4" s="31"/>
      <c r="F4" s="31"/>
      <c r="G4" s="31"/>
    </row>
    <row r="5" spans="1:7" x14ac:dyDescent="0.2">
      <c r="A5" s="17" t="s">
        <v>106</v>
      </c>
      <c r="B5" s="93" t="s">
        <v>107</v>
      </c>
      <c r="C5" s="93"/>
      <c r="D5" s="93"/>
      <c r="E5" s="93"/>
      <c r="F5" s="93"/>
      <c r="G5" s="93"/>
    </row>
    <row r="6" spans="1:7" ht="21" customHeight="1" x14ac:dyDescent="0.2">
      <c r="A6" s="39" t="s">
        <v>123</v>
      </c>
      <c r="B6" s="94" t="s">
        <v>129</v>
      </c>
      <c r="C6" s="95"/>
      <c r="D6" s="95"/>
      <c r="E6" s="95"/>
      <c r="F6" s="95"/>
      <c r="G6" s="95"/>
    </row>
    <row r="8" spans="1:7" x14ac:dyDescent="0.2">
      <c r="A8" s="77"/>
      <c r="B8" s="77"/>
      <c r="C8" s="77"/>
      <c r="D8" s="77"/>
      <c r="E8" s="77"/>
      <c r="F8" s="77"/>
      <c r="G8" s="77"/>
    </row>
    <row r="9" spans="1:7" s="29" customFormat="1" ht="25" customHeight="1" x14ac:dyDescent="0.2">
      <c r="A9" s="84" t="s">
        <v>108</v>
      </c>
      <c r="B9" s="84"/>
      <c r="C9" s="84"/>
      <c r="D9" s="84"/>
      <c r="E9" s="84"/>
      <c r="F9" s="84"/>
      <c r="G9" s="84"/>
    </row>
    <row r="10" spans="1:7" s="29" customFormat="1" ht="21" customHeight="1" x14ac:dyDescent="0.2">
      <c r="A10" s="88" t="s">
        <v>130</v>
      </c>
      <c r="B10" s="88"/>
      <c r="C10" s="88"/>
      <c r="D10" s="88"/>
      <c r="E10" s="88"/>
      <c r="F10" s="88"/>
      <c r="G10" s="88"/>
    </row>
    <row r="11" spans="1:7" s="29" customFormat="1" ht="21" customHeight="1" x14ac:dyDescent="0.2">
      <c r="A11" s="88" t="s">
        <v>124</v>
      </c>
      <c r="B11" s="88"/>
      <c r="C11" s="88"/>
      <c r="D11" s="88"/>
      <c r="E11" s="88"/>
      <c r="F11" s="88"/>
      <c r="G11" s="88"/>
    </row>
    <row r="12" spans="1:7" s="29" customFormat="1" ht="21" customHeight="1" x14ac:dyDescent="0.2">
      <c r="A12" s="88" t="s">
        <v>125</v>
      </c>
      <c r="B12" s="88"/>
      <c r="C12" s="88"/>
      <c r="D12" s="88"/>
      <c r="E12" s="88"/>
      <c r="F12" s="88"/>
      <c r="G12" s="88"/>
    </row>
    <row r="13" spans="1:7" s="29" customFormat="1" ht="21" customHeight="1" x14ac:dyDescent="0.2">
      <c r="A13" s="88" t="s">
        <v>126</v>
      </c>
      <c r="B13" s="88"/>
      <c r="C13" s="88"/>
      <c r="D13" s="88"/>
      <c r="E13" s="88"/>
      <c r="F13" s="88"/>
      <c r="G13" s="88"/>
    </row>
    <row r="14" spans="1:7" s="29" customFormat="1" ht="21" customHeight="1" x14ac:dyDescent="0.2">
      <c r="A14" s="88" t="s">
        <v>127</v>
      </c>
      <c r="B14" s="88"/>
      <c r="C14" s="88"/>
      <c r="D14" s="88"/>
      <c r="E14" s="88"/>
      <c r="F14" s="88"/>
      <c r="G14" s="88"/>
    </row>
    <row r="15" spans="1:7" s="29" customFormat="1" ht="21" customHeight="1" x14ac:dyDescent="0.2">
      <c r="A15" s="57" t="s">
        <v>193</v>
      </c>
    </row>
    <row r="16" spans="1:7" s="29" customFormat="1" ht="21" customHeight="1" x14ac:dyDescent="0.2">
      <c r="A16" s="88" t="s">
        <v>128</v>
      </c>
      <c r="B16" s="88"/>
      <c r="C16" s="88"/>
      <c r="D16" s="88"/>
      <c r="E16" s="88"/>
      <c r="F16" s="88"/>
      <c r="G16" s="88"/>
    </row>
  </sheetData>
  <mergeCells count="11">
    <mergeCell ref="A1:G1"/>
    <mergeCell ref="A14:G14"/>
    <mergeCell ref="A16:G16"/>
    <mergeCell ref="B5:G5"/>
    <mergeCell ref="B6:G6"/>
    <mergeCell ref="A8:G8"/>
    <mergeCell ref="A9:G9"/>
    <mergeCell ref="A10:G10"/>
    <mergeCell ref="A11:G11"/>
    <mergeCell ref="A12:G12"/>
    <mergeCell ref="A13:G13"/>
  </mergeCells>
  <hyperlinks>
    <hyperlink ref="B6" r:id="rId1" xr:uid="{3AD2E149-02E5-8040-803E-901A97F7B8D8}"/>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FBCEE-0714-A34B-9BCF-666AFB836961}">
  <dimension ref="A1:G23"/>
  <sheetViews>
    <sheetView workbookViewId="0">
      <selection activeCell="F6" sqref="F6"/>
    </sheetView>
  </sheetViews>
  <sheetFormatPr baseColWidth="10" defaultRowHeight="16" x14ac:dyDescent="0.2"/>
  <cols>
    <col min="1" max="1" width="50" customWidth="1"/>
    <col min="2" max="2" width="28.5" customWidth="1"/>
  </cols>
  <sheetData>
    <row r="1" spans="1:7" s="4" customFormat="1" x14ac:dyDescent="0.2">
      <c r="A1" s="4" t="s">
        <v>16</v>
      </c>
      <c r="B1" s="4" t="s">
        <v>2</v>
      </c>
      <c r="C1" s="4">
        <v>2025</v>
      </c>
      <c r="D1" s="4">
        <v>2024</v>
      </c>
      <c r="E1" s="4" t="s">
        <v>19</v>
      </c>
      <c r="F1" s="4" t="s">
        <v>20</v>
      </c>
      <c r="G1" s="4" t="s">
        <v>2</v>
      </c>
    </row>
    <row r="2" spans="1:7" x14ac:dyDescent="0.2">
      <c r="A2" t="s">
        <v>0</v>
      </c>
      <c r="B2" t="s">
        <v>3</v>
      </c>
      <c r="C2" s="1">
        <v>13393</v>
      </c>
      <c r="D2" s="1">
        <v>12923</v>
      </c>
      <c r="E2" s="1">
        <f>C2-D2</f>
        <v>470</v>
      </c>
      <c r="F2" s="7">
        <f>E2/D2</f>
        <v>3.6369264102762519E-2</v>
      </c>
    </row>
    <row r="3" spans="1:7" x14ac:dyDescent="0.2">
      <c r="A3" t="s">
        <v>1</v>
      </c>
      <c r="C3" s="1">
        <v>-11357</v>
      </c>
      <c r="D3" s="1">
        <v>-10850</v>
      </c>
      <c r="E3" s="1">
        <f t="shared" ref="E3:E18" si="0">C3-D3</f>
        <v>-507</v>
      </c>
      <c r="F3" s="7">
        <f t="shared" ref="F3:F18" si="1">E3/D3</f>
        <v>4.6728110599078339E-2</v>
      </c>
    </row>
    <row r="4" spans="1:7" s="2" customFormat="1" x14ac:dyDescent="0.2">
      <c r="A4" s="2" t="s">
        <v>4</v>
      </c>
      <c r="C4" s="3">
        <f>SUM(C2:C3)</f>
        <v>2036</v>
      </c>
      <c r="D4" s="3">
        <f t="shared" ref="D4" si="2">SUM(D2:D3)</f>
        <v>2073</v>
      </c>
      <c r="E4" s="3">
        <f t="shared" si="0"/>
        <v>-37</v>
      </c>
      <c r="F4" s="7">
        <f t="shared" si="1"/>
        <v>-1.7848528702363725E-2</v>
      </c>
    </row>
    <row r="5" spans="1:7" x14ac:dyDescent="0.2">
      <c r="E5" s="1"/>
      <c r="F5" s="7"/>
    </row>
    <row r="6" spans="1:7" x14ac:dyDescent="0.2">
      <c r="A6" t="s">
        <v>5</v>
      </c>
      <c r="C6">
        <v>-649</v>
      </c>
      <c r="D6">
        <v>-653</v>
      </c>
      <c r="E6" s="1">
        <f t="shared" si="0"/>
        <v>4</v>
      </c>
      <c r="F6" s="7">
        <f t="shared" si="1"/>
        <v>-6.1255742725880554E-3</v>
      </c>
    </row>
    <row r="7" spans="1:7" x14ac:dyDescent="0.2">
      <c r="A7" t="s">
        <v>50</v>
      </c>
      <c r="C7">
        <v>-824</v>
      </c>
      <c r="D7">
        <v>-875</v>
      </c>
      <c r="E7" s="1">
        <f t="shared" si="0"/>
        <v>51</v>
      </c>
      <c r="F7" s="7">
        <f t="shared" si="1"/>
        <v>-5.8285714285714288E-2</v>
      </c>
    </row>
    <row r="8" spans="1:7" x14ac:dyDescent="0.2">
      <c r="A8" t="s">
        <v>6</v>
      </c>
      <c r="C8">
        <v>-79</v>
      </c>
      <c r="D8">
        <v>-40</v>
      </c>
      <c r="E8" s="1">
        <f t="shared" si="0"/>
        <v>-39</v>
      </c>
      <c r="F8" s="7">
        <f t="shared" si="1"/>
        <v>0.97499999999999998</v>
      </c>
    </row>
    <row r="9" spans="1:7" x14ac:dyDescent="0.2">
      <c r="A9" t="s">
        <v>7</v>
      </c>
      <c r="C9">
        <v>23</v>
      </c>
      <c r="D9">
        <v>22</v>
      </c>
      <c r="E9" s="1">
        <f t="shared" si="0"/>
        <v>1</v>
      </c>
      <c r="F9" s="7">
        <f t="shared" si="1"/>
        <v>4.5454545454545456E-2</v>
      </c>
    </row>
    <row r="10" spans="1:7" s="2" customFormat="1" x14ac:dyDescent="0.2">
      <c r="A10" s="2" t="s">
        <v>8</v>
      </c>
      <c r="B10" s="2" t="s">
        <v>9</v>
      </c>
      <c r="C10" s="3">
        <f>SUM(C4:C9)</f>
        <v>507</v>
      </c>
      <c r="D10" s="3">
        <f t="shared" ref="D10" si="3">SUM(D4:D9)</f>
        <v>527</v>
      </c>
      <c r="E10" s="3">
        <f t="shared" si="0"/>
        <v>-20</v>
      </c>
      <c r="F10" s="7">
        <f t="shared" si="1"/>
        <v>-3.7950664136622389E-2</v>
      </c>
    </row>
    <row r="11" spans="1:7" x14ac:dyDescent="0.2">
      <c r="E11" s="1"/>
      <c r="F11" s="7"/>
    </row>
    <row r="12" spans="1:7" x14ac:dyDescent="0.2">
      <c r="A12" t="s">
        <v>10</v>
      </c>
      <c r="C12">
        <v>11</v>
      </c>
      <c r="D12">
        <v>30</v>
      </c>
      <c r="E12" s="1">
        <f t="shared" si="0"/>
        <v>-19</v>
      </c>
      <c r="F12" s="7">
        <f t="shared" si="1"/>
        <v>-0.6333333333333333</v>
      </c>
    </row>
    <row r="13" spans="1:7" x14ac:dyDescent="0.2">
      <c r="A13" t="s">
        <v>11</v>
      </c>
      <c r="C13">
        <v>-77</v>
      </c>
      <c r="D13">
        <v>-104</v>
      </c>
      <c r="E13" s="1">
        <f t="shared" si="0"/>
        <v>27</v>
      </c>
      <c r="F13" s="7">
        <f t="shared" si="1"/>
        <v>-0.25961538461538464</v>
      </c>
    </row>
    <row r="14" spans="1:7" x14ac:dyDescent="0.2">
      <c r="A14" t="s">
        <v>12</v>
      </c>
      <c r="C14">
        <v>25</v>
      </c>
      <c r="D14">
        <v>20</v>
      </c>
      <c r="E14" s="1">
        <f t="shared" si="0"/>
        <v>5</v>
      </c>
      <c r="F14" s="7">
        <f t="shared" si="1"/>
        <v>0.25</v>
      </c>
    </row>
    <row r="15" spans="1:7" s="2" customFormat="1" x14ac:dyDescent="0.2">
      <c r="A15" s="2" t="s">
        <v>13</v>
      </c>
      <c r="C15" s="3">
        <f xml:space="preserve"> SUM(C10:C14)</f>
        <v>466</v>
      </c>
      <c r="D15" s="3">
        <f xml:space="preserve"> SUM(D10:D14)</f>
        <v>473</v>
      </c>
      <c r="E15" s="3">
        <f t="shared" si="0"/>
        <v>-7</v>
      </c>
      <c r="F15" s="7">
        <f t="shared" si="1"/>
        <v>-1.4799154334038054E-2</v>
      </c>
    </row>
    <row r="16" spans="1:7" x14ac:dyDescent="0.2">
      <c r="E16" s="1"/>
      <c r="F16" s="7"/>
    </row>
    <row r="17" spans="1:6" x14ac:dyDescent="0.2">
      <c r="A17" t="s">
        <v>14</v>
      </c>
      <c r="B17" s="5"/>
      <c r="C17">
        <v>-138</v>
      </c>
      <c r="D17">
        <v>-152</v>
      </c>
      <c r="E17" s="1">
        <f t="shared" si="0"/>
        <v>14</v>
      </c>
      <c r="F17" s="7">
        <f t="shared" si="1"/>
        <v>-9.2105263157894732E-2</v>
      </c>
    </row>
    <row r="18" spans="1:6" s="2" customFormat="1" x14ac:dyDescent="0.2">
      <c r="A18" s="2" t="s">
        <v>15</v>
      </c>
      <c r="B18" s="2" t="s">
        <v>17</v>
      </c>
      <c r="C18" s="3">
        <f xml:space="preserve"> C15+C17</f>
        <v>328</v>
      </c>
      <c r="D18" s="3">
        <f xml:space="preserve"> D15+D17</f>
        <v>321</v>
      </c>
      <c r="E18" s="3">
        <f t="shared" si="0"/>
        <v>7</v>
      </c>
      <c r="F18" s="7">
        <f t="shared" si="1"/>
        <v>2.1806853582554516E-2</v>
      </c>
    </row>
    <row r="19" spans="1:6" x14ac:dyDescent="0.2">
      <c r="D19" s="1"/>
    </row>
    <row r="23" spans="1:6" x14ac:dyDescent="0.2">
      <c r="C2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Cover</vt:lpstr>
      <vt:lpstr>Executive Summary</vt:lpstr>
      <vt:lpstr>Revenue Analysis</vt:lpstr>
      <vt:lpstr>Costs Analysis</vt:lpstr>
      <vt:lpstr>Profitability bridge</vt:lpstr>
      <vt:lpstr>2026 Scenario Analysis</vt:lpstr>
      <vt:lpstr>Management Insights</vt:lpstr>
      <vt:lpstr>Sources &amp; Methodology</vt:lpstr>
      <vt:lpstr>Historical P&amp;L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Linh Le</dc:creator>
  <cp:lastModifiedBy>Linh Le</cp:lastModifiedBy>
  <dcterms:created xsi:type="dcterms:W3CDTF">2026-09-06T21:28:58Z</dcterms:created>
  <dcterms:modified xsi:type="dcterms:W3CDTF">2026-09-24T20:59:47Z</dcterms:modified>
</cp:coreProperties>
</file>